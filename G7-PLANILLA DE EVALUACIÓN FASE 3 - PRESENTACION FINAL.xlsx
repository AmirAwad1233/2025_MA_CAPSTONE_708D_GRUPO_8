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UOC-2025-2\CAPSTONE\FASE3\DOCUMENTOS FASE3\P_FINAL-F3\"/>
    </mc:Choice>
  </mc:AlternateContent>
  <bookViews>
    <workbookView xWindow="0" yWindow="0" windowWidth="20490" windowHeight="7755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B76" i="1"/>
  <c r="B50" i="1"/>
  <c r="B37" i="1"/>
  <c r="B63" i="1" l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E84" i="1"/>
  <c r="J83" i="1"/>
  <c r="K83" i="1" s="1"/>
  <c r="H83" i="1"/>
  <c r="I83" i="1" s="1"/>
  <c r="F83" i="1"/>
  <c r="G83" i="1" s="1"/>
  <c r="E83" i="1"/>
  <c r="J82" i="1"/>
  <c r="K82" i="1" s="1"/>
  <c r="H82" i="1"/>
  <c r="I82" i="1" s="1"/>
  <c r="F82" i="1"/>
  <c r="G82" i="1" s="1"/>
  <c r="E82" i="1"/>
  <c r="J81" i="1"/>
  <c r="K81" i="1" s="1"/>
  <c r="H81" i="1"/>
  <c r="I81" i="1" s="1"/>
  <c r="F81" i="1"/>
  <c r="G81" i="1" s="1"/>
  <c r="E81" i="1"/>
  <c r="J80" i="1"/>
  <c r="K80" i="1" s="1"/>
  <c r="H80" i="1"/>
  <c r="I80" i="1" s="1"/>
  <c r="G80" i="1"/>
  <c r="F80" i="1"/>
  <c r="E80" i="1"/>
  <c r="J79" i="1"/>
  <c r="K79" i="1" s="1"/>
  <c r="H79" i="1"/>
  <c r="I79" i="1" s="1"/>
  <c r="F79" i="1"/>
  <c r="G79" i="1" s="1"/>
  <c r="E79" i="1"/>
  <c r="J78" i="1"/>
  <c r="K78" i="1" s="1"/>
  <c r="I78" i="1"/>
  <c r="H78" i="1"/>
  <c r="F78" i="1"/>
  <c r="G78" i="1" s="1"/>
  <c r="E78" i="1"/>
  <c r="J71" i="1"/>
  <c r="K71" i="1" s="1"/>
  <c r="H71" i="1"/>
  <c r="I71" i="1" s="1"/>
  <c r="F71" i="1"/>
  <c r="G71" i="1" s="1"/>
  <c r="E71" i="1"/>
  <c r="J70" i="1"/>
  <c r="K70" i="1" s="1"/>
  <c r="H70" i="1"/>
  <c r="I70" i="1" s="1"/>
  <c r="F70" i="1"/>
  <c r="G70" i="1" s="1"/>
  <c r="E70" i="1"/>
  <c r="J69" i="1"/>
  <c r="K69" i="1" s="1"/>
  <c r="I69" i="1"/>
  <c r="H69" i="1"/>
  <c r="G69" i="1"/>
  <c r="E69" i="1"/>
  <c r="J68" i="1"/>
  <c r="K68" i="1" s="1"/>
  <c r="H68" i="1"/>
  <c r="I68" i="1" s="1"/>
  <c r="F68" i="1"/>
  <c r="G68" i="1" s="1"/>
  <c r="E68" i="1"/>
  <c r="K67" i="1"/>
  <c r="J67" i="1"/>
  <c r="H67" i="1"/>
  <c r="I67" i="1" s="1"/>
  <c r="G67" i="1"/>
  <c r="E67" i="1"/>
  <c r="J66" i="1"/>
  <c r="K66" i="1" s="1"/>
  <c r="H66" i="1"/>
  <c r="I66" i="1" s="1"/>
  <c r="F66" i="1"/>
  <c r="G66" i="1" s="1"/>
  <c r="E66" i="1"/>
  <c r="J65" i="1"/>
  <c r="K65" i="1" s="1"/>
  <c r="H65" i="1"/>
  <c r="I65" i="1" s="1"/>
  <c r="F65" i="1"/>
  <c r="G65" i="1" s="1"/>
  <c r="E65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G58" i="1"/>
  <c r="E58" i="1"/>
  <c r="J57" i="1"/>
  <c r="K57" i="1" s="1"/>
  <c r="H57" i="1"/>
  <c r="I57" i="1" s="1"/>
  <c r="F57" i="1"/>
  <c r="G57" i="1" s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F53" i="1"/>
  <c r="G53" i="1" s="1"/>
  <c r="E53" i="1"/>
  <c r="J52" i="1"/>
  <c r="K52" i="1" s="1"/>
  <c r="I52" i="1"/>
  <c r="H52" i="1"/>
  <c r="G52" i="1"/>
  <c r="F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J44" i="1"/>
  <c r="K44" i="1" s="1"/>
  <c r="H44" i="1"/>
  <c r="I44" i="1" s="1"/>
  <c r="J43" i="1"/>
  <c r="K43" i="1" s="1"/>
  <c r="H43" i="1"/>
  <c r="I43" i="1" s="1"/>
  <c r="J42" i="1"/>
  <c r="K42" i="1" s="1"/>
  <c r="H42" i="1"/>
  <c r="I42" i="1" s="1"/>
  <c r="J41" i="1"/>
  <c r="K41" i="1" s="1"/>
  <c r="H41" i="1"/>
  <c r="I41" i="1" s="1"/>
  <c r="J40" i="1"/>
  <c r="K40" i="1" s="1"/>
  <c r="H40" i="1"/>
  <c r="I40" i="1" s="1"/>
  <c r="J39" i="1"/>
  <c r="K39" i="1" s="1"/>
  <c r="H39" i="1"/>
  <c r="I39" i="1" s="1"/>
  <c r="J32" i="1"/>
  <c r="K32" i="1" s="1"/>
  <c r="H32" i="1"/>
  <c r="I32" i="1" s="1"/>
  <c r="J31" i="1"/>
  <c r="K31" i="1" s="1"/>
  <c r="H31" i="1"/>
  <c r="I31" i="1" s="1"/>
  <c r="J30" i="1"/>
  <c r="K30" i="1" s="1"/>
  <c r="H30" i="1"/>
  <c r="I30" i="1" s="1"/>
  <c r="J29" i="1"/>
  <c r="K29" i="1" s="1"/>
  <c r="H29" i="1"/>
  <c r="I29" i="1" s="1"/>
  <c r="J28" i="1"/>
  <c r="K28" i="1" s="1"/>
  <c r="H28" i="1"/>
  <c r="I28" i="1" s="1"/>
  <c r="J27" i="1"/>
  <c r="K27" i="1" s="1"/>
  <c r="H27" i="1"/>
  <c r="I27" i="1" s="1"/>
  <c r="J26" i="1"/>
  <c r="K26" i="1" s="1"/>
  <c r="H26" i="1"/>
  <c r="I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<sst xmlns="http://schemas.openxmlformats.org/spreadsheetml/2006/main" count="229" uniqueCount="95">
  <si>
    <t>INTEGRANTES</t>
  </si>
  <si>
    <t>Nota docente asignatura</t>
  </si>
  <si>
    <t>Nota comision</t>
  </si>
  <si>
    <t>Nota final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</si>
  <si>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</si>
  <si>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</si>
  <si>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</si>
  <si>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</si>
  <si>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</si>
  <si>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</si>
  <si>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</si>
  <si>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</si>
  <si>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</si>
  <si>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</si>
  <si>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</si>
  <si>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</si>
  <si>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</si>
  <si>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</si>
  <si>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</si>
  <si>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</si>
  <si>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</si>
  <si>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</si>
  <si>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</si>
  <si>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</si>
  <si>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</si>
  <si>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</si>
  <si>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</si>
  <si>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</si>
  <si>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</si>
  <si>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</si>
  <si>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</si>
  <si>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</si>
  <si>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</si>
  <si>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</si>
  <si>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</si>
  <si>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</si>
  <si>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</si>
  <si>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</si>
  <si>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</si>
  <si>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</si>
  <si>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</si>
  <si>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</si>
  <si>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</si>
  <si>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</si>
  <si>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</si>
  <si>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</si>
  <si>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</si>
  <si>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</si>
  <si>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</si>
  <si>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</si>
  <si>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</si>
  <si>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</si>
  <si>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</si>
  <si>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</si>
  <si>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</si>
  <si>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</si>
  <si>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</si>
  <si>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</si>
  <si>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</si>
  <si>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Factibilidad económica débil- Deben aportar la figura de negocio para sustentarla en el tiempo</t>
  </si>
  <si>
    <t>Factibilidad legal -ok</t>
  </si>
  <si>
    <t>Control de versiones y control de tareas - ok</t>
  </si>
  <si>
    <t>Planificación - ok</t>
  </si>
  <si>
    <t>Restrospectiva- Aportar conceptos claves  y ser más concretos y claros.</t>
  </si>
  <si>
    <t>Omiten información sobre como sustentar la aplicación-Modelo de negocio</t>
  </si>
  <si>
    <t>Metodología del desarrollo -ok</t>
  </si>
  <si>
    <t>PRUEBAS - Señalar las técnicas de pruebas utilizadas</t>
  </si>
  <si>
    <t>Demostración-. Funcionalidades claves cubiertas- Vista admin ok -Felicitaciones por su avance y mejoras-Reportes ok muy bien</t>
  </si>
  <si>
    <t>Buenos objetivos- Cumple</t>
  </si>
  <si>
    <t>Alcances- Buena lista de alcances</t>
  </si>
  <si>
    <t>ORGANIGRAMA-ok</t>
  </si>
  <si>
    <t>Vistas de usuarios-ok</t>
  </si>
  <si>
    <t>REVISAR VIDEO DEMOSTRACION SE ALARGO PRESENTACION</t>
  </si>
  <si>
    <t>Objetivos específicos</t>
  </si>
  <si>
    <t>Dar fuerza a necesidad emergente. Poner vídeo testimonio o planteamiento de la problemática de parte del cliente</t>
  </si>
  <si>
    <t>Sugiero Cuadro de métricas claves a resolver. Mejorar accesibilidad a productos, optimizar el proceso de la compra, toma de mejores decisiones</t>
  </si>
  <si>
    <t>Modelo Canvas -ok</t>
  </si>
  <si>
    <t>Información del contexto de negocio y del mercado ok. Incoporar las fuentes de información con su link de cada fuente</t>
  </si>
  <si>
    <t>Aporte  métricas de la problemática - Pero deben indicar cómo las comprobarán al resolverlas</t>
  </si>
  <si>
    <t>G7</t>
  </si>
  <si>
    <t>Martin Diaz</t>
  </si>
  <si>
    <t>Jose Jimenez</t>
  </si>
  <si>
    <t>Modelo por Capas -Mejorar modelo por capas o integración de tecnologías no se ve el contraste</t>
  </si>
  <si>
    <t>Tecnologías del desarrollo y estándars-ok</t>
  </si>
  <si>
    <t>PLANIFICACION -OK -RACI -Roadmap</t>
  </si>
  <si>
    <t>Buenos aspecto de los beneficios que trae generar publicaciones</t>
  </si>
  <si>
    <t>6+</t>
  </si>
  <si>
    <t>Modelamiento UML -ok</t>
  </si>
  <si>
    <t>Factibilidad técnica y operacional ok</t>
  </si>
  <si>
    <t>Amir Awad-Reginaldo</t>
  </si>
  <si>
    <t>Gabriel Galvez-Ricardo Aravena</t>
  </si>
  <si>
    <t>CHRISTIAN LAZCANO</t>
  </si>
  <si>
    <t>RICARDO ARAVENA</t>
  </si>
  <si>
    <t>Amir Awad-Gabriel Galvez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</si>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</sst>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11"/>
      <color theme="1"/>
      <name val="Calibri"/>
      <family val="2"/>
    </font>
    <font>
      <sz val="11"/>
      <color theme="2" tint="-0.249977111117893"/>
      <name val="Calibri"/>
      <family val="2"/>
    </font>
    <font>
      <sz val="11"/>
      <color theme="0" tint="-0.249977111117893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6"/>
      <color rgb="FF000000"/>
      <name val="Calibri"/>
      <family val="2"/>
    </font>
    <font>
      <sz val="1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7" fillId="0" borderId="1" xfId="0" applyNumberFormat="1" applyFont="1" applyBorder="1"/>
    <xf numFmtId="0" fontId="4" fillId="3" borderId="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 wrapText="1"/>
    </xf>
    <xf numFmtId="0" fontId="5" fillId="0" borderId="16" xfId="0" applyFont="1" applyBorder="1" applyAlignment="1">
      <alignment horizontal="left" vertical="center" wrapText="1"/>
    </xf>
    <xf numFmtId="0" fontId="13" fillId="3" borderId="11" xfId="0" applyFont="1" applyFill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7" fillId="0" borderId="2" xfId="0" applyFont="1" applyBorder="1"/>
    <xf numFmtId="0" fontId="11" fillId="0" borderId="16" xfId="0" applyFont="1" applyBorder="1" applyAlignment="1">
      <alignment horizontal="justify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9" fontId="8" fillId="6" borderId="22" xfId="0" applyNumberFormat="1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/>
    <xf numFmtId="0" fontId="12" fillId="0" borderId="0" xfId="0" applyFont="1"/>
    <xf numFmtId="0" fontId="16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5" fillId="0" borderId="0" xfId="0" applyFont="1"/>
    <xf numFmtId="0" fontId="12" fillId="0" borderId="0" xfId="0" applyFont="1" applyFill="1" applyBorder="1"/>
    <xf numFmtId="0" fontId="11" fillId="0" borderId="1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 textRotation="255" wrapText="1"/>
    </xf>
    <xf numFmtId="0" fontId="21" fillId="0" borderId="15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4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9" fillId="3" borderId="4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02"/>
  <sheetViews>
    <sheetView tabSelected="1" zoomScale="85" zoomScaleNormal="85" workbookViewId="0">
      <selection activeCell="B7" sqref="B7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B2" s="38" t="s">
        <v>79</v>
      </c>
      <c r="C2" s="28">
        <v>0.7</v>
      </c>
      <c r="D2" s="31">
        <v>0.3</v>
      </c>
      <c r="E2" s="32">
        <v>1</v>
      </c>
    </row>
    <row r="3" spans="1:11" ht="30">
      <c r="B3" s="2" t="s">
        <v>0</v>
      </c>
      <c r="C3" s="29" t="s">
        <v>1</v>
      </c>
      <c r="D3" s="33" t="s">
        <v>2</v>
      </c>
      <c r="E3" s="34" t="s">
        <v>3</v>
      </c>
    </row>
    <row r="4" spans="1:11">
      <c r="A4" s="3">
        <v>1</v>
      </c>
      <c r="B4" s="39" t="s">
        <v>80</v>
      </c>
      <c r="C4" s="30">
        <f>C21</f>
        <v>6.1</v>
      </c>
      <c r="D4" s="36">
        <f>C60</f>
        <v>6.4</v>
      </c>
      <c r="E4" s="35">
        <f>C4*C$2+D4*D$2</f>
        <v>6.1899999999999995</v>
      </c>
    </row>
    <row r="5" spans="1:11">
      <c r="A5" s="3">
        <v>2</v>
      </c>
      <c r="B5" s="39" t="s">
        <v>81</v>
      </c>
      <c r="C5" s="30">
        <f>C34</f>
        <v>6.1</v>
      </c>
      <c r="D5" s="36">
        <f>C73</f>
        <v>6.3</v>
      </c>
      <c r="E5" s="35">
        <f t="shared" ref="E5:E6" si="0">C5*C$2+D5*D$2</f>
        <v>6.1599999999999993</v>
      </c>
    </row>
    <row r="6" spans="1:11">
      <c r="A6" s="3">
        <v>3</v>
      </c>
      <c r="B6" s="45" t="s">
        <v>93</v>
      </c>
      <c r="C6" s="30">
        <f>C47</f>
        <v>6.1</v>
      </c>
      <c r="D6" s="36" t="e">
        <f>C86</f>
        <v>#N/A</v>
      </c>
      <c r="E6" s="35" t="e">
        <f t="shared" si="0"/>
        <v>#N/A</v>
      </c>
    </row>
    <row r="7" spans="1:11" ht="15" customHeight="1">
      <c r="A7" s="3">
        <v>4</v>
      </c>
      <c r="B7" s="45" t="s">
        <v>89</v>
      </c>
    </row>
    <row r="8" spans="1:11" ht="15" customHeight="1">
      <c r="A8" s="3">
        <v>5</v>
      </c>
      <c r="B8" s="45" t="s">
        <v>90</v>
      </c>
    </row>
    <row r="11" spans="1:11" ht="18.75" outlineLevel="1">
      <c r="A11" s="47" t="s">
        <v>91</v>
      </c>
      <c r="B11" s="11" t="str">
        <f>B4</f>
        <v>Martin Diaz</v>
      </c>
      <c r="C11" s="51" t="s">
        <v>4</v>
      </c>
      <c r="D11" s="53" t="s">
        <v>5</v>
      </c>
      <c r="E11" s="54"/>
      <c r="F11" s="54"/>
      <c r="G11" s="54"/>
      <c r="H11" s="54"/>
      <c r="I11" s="54"/>
      <c r="J11" s="54"/>
      <c r="K11" s="55"/>
    </row>
    <row r="12" spans="1:11" outlineLevel="1">
      <c r="A12" s="48"/>
      <c r="B12" s="15" t="s">
        <v>6</v>
      </c>
      <c r="C12" s="52"/>
      <c r="D12" s="53" t="s">
        <v>7</v>
      </c>
      <c r="E12" s="55"/>
      <c r="F12" s="53" t="s">
        <v>8</v>
      </c>
      <c r="G12" s="55"/>
      <c r="H12" s="56" t="s">
        <v>9</v>
      </c>
      <c r="I12" s="55"/>
      <c r="J12" s="53" t="s">
        <v>10</v>
      </c>
      <c r="K12" s="55"/>
    </row>
    <row r="13" spans="1:11" ht="24" outlineLevel="1">
      <c r="A13" s="49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7</v>
      </c>
      <c r="D13" s="46" t="s">
        <v>94</v>
      </c>
      <c r="E13" s="12">
        <f>IF(D13="X",100*0.15,"")</f>
        <v>15</v>
      </c>
      <c r="F13" s="46"/>
      <c r="G13" s="12" t="str">
        <f>IF(F13="X",60*0.15,"")</f>
        <v/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>
      <c r="A14" s="49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7</v>
      </c>
      <c r="D14" s="12"/>
      <c r="E14" s="12" t="str">
        <f>IF(D14="X",100*0.25,"")</f>
        <v/>
      </c>
      <c r="F14" s="46" t="s">
        <v>94</v>
      </c>
      <c r="G14" s="12">
        <f>IF(F14="X",60*0.25,"")</f>
        <v>15</v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>
      <c r="A15" s="49"/>
      <c r="B15" s="18" t="str">
        <f>RUBRICA!A6</f>
        <v>3. Responde las preguntas realizadas por la comisión, cumpliendo con los estándares de calidad de la disciplina.</v>
      </c>
      <c r="C15" s="16" t="s">
        <v>7</v>
      </c>
      <c r="D15" s="46" t="s">
        <v>94</v>
      </c>
      <c r="E15" s="12">
        <f>IF(D15="X",100*0.2,"")</f>
        <v>20</v>
      </c>
      <c r="F15" s="46"/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>
      <c r="A16" s="49"/>
      <c r="B16" s="18" t="str">
        <f>RUBRICA!A7</f>
        <v>4. Expone el Proyecto APT, considerando el formato y el tiempo establecido para la presentación.</v>
      </c>
      <c r="C16" s="16" t="s">
        <v>7</v>
      </c>
      <c r="D16" s="46" t="s">
        <v>94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>
      <c r="A17" s="49"/>
      <c r="B17" s="18" t="str">
        <f>RUBRICA!A8</f>
        <v>5. Expresa sus ideas con fluidez, claridad y precisión, utilizando lenguaje técnico propio de la disciplina.</v>
      </c>
      <c r="C17" s="16" t="s">
        <v>7</v>
      </c>
      <c r="D17" s="46"/>
      <c r="E17" s="12" t="str">
        <f>IF(D17="X",100*0.05,"")</f>
        <v/>
      </c>
      <c r="F17" s="46" t="s">
        <v>94</v>
      </c>
      <c r="G17" s="12">
        <f>IF(F17="X",60*0.05,"")</f>
        <v>3</v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>
      <c r="A18" s="49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7</v>
      </c>
      <c r="D18" s="46" t="s">
        <v>94</v>
      </c>
      <c r="E18" s="12">
        <f>IF(D18="X",100*0.2,"")</f>
        <v>20</v>
      </c>
      <c r="F18" s="46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>
      <c r="A19" s="49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7</v>
      </c>
      <c r="D19" s="46" t="s">
        <v>94</v>
      </c>
      <c r="E19" s="12">
        <f>IF(D19="X",100*0.1,"")</f>
        <v>10</v>
      </c>
      <c r="F19" s="46"/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>
      <c r="A20" s="48"/>
      <c r="B20" s="17" t="s">
        <v>11</v>
      </c>
      <c r="C20" s="21">
        <f>E20+G20+I20+K20</f>
        <v>88</v>
      </c>
      <c r="D20" s="13"/>
      <c r="E20" s="13">
        <f>SUM(E13:E19)</f>
        <v>70</v>
      </c>
      <c r="F20" s="13"/>
      <c r="G20" s="13">
        <f>SUM(G13:G19)</f>
        <v>18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0"/>
      <c r="B21" s="20" t="s">
        <v>12</v>
      </c>
      <c r="C21" s="14">
        <f>VLOOKUP(C20,ESCALA_IEP!A2:B202,2,FALSE)</f>
        <v>6.1</v>
      </c>
    </row>
    <row r="22" spans="1:11" ht="15.75" customHeight="1"/>
    <row r="23" spans="1:11" ht="15.75" customHeight="1"/>
    <row r="24" spans="1:11" ht="24" customHeight="1">
      <c r="A24" s="47" t="s">
        <v>91</v>
      </c>
      <c r="B24" s="11" t="str">
        <f>B5</f>
        <v>Jose Jimenez</v>
      </c>
      <c r="C24" s="51" t="s">
        <v>4</v>
      </c>
      <c r="D24" s="53" t="s">
        <v>5</v>
      </c>
      <c r="E24" s="54"/>
      <c r="F24" s="54"/>
      <c r="G24" s="54"/>
      <c r="H24" s="54"/>
      <c r="I24" s="54"/>
      <c r="J24" s="54"/>
      <c r="K24" s="55"/>
    </row>
    <row r="25" spans="1:11" ht="24" customHeight="1">
      <c r="A25" s="48"/>
      <c r="B25" s="15" t="s">
        <v>6</v>
      </c>
      <c r="C25" s="52"/>
      <c r="D25" s="53" t="s">
        <v>7</v>
      </c>
      <c r="E25" s="55"/>
      <c r="F25" s="53" t="s">
        <v>8</v>
      </c>
      <c r="G25" s="55"/>
      <c r="H25" s="56" t="s">
        <v>9</v>
      </c>
      <c r="I25" s="55"/>
      <c r="J25" s="53" t="s">
        <v>10</v>
      </c>
      <c r="K25" s="55"/>
    </row>
    <row r="26" spans="1:11" ht="24" customHeight="1">
      <c r="A26" s="49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7</v>
      </c>
      <c r="D26" s="46" t="s">
        <v>94</v>
      </c>
      <c r="E26" s="12">
        <f>IF(D26="X",100*0.15,"")</f>
        <v>15</v>
      </c>
      <c r="F26" s="46"/>
      <c r="G26" s="12" t="str">
        <f>IF(F26="X",60*0.15,"")</f>
        <v/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>
      <c r="A27" s="49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7</v>
      </c>
      <c r="D27" s="12"/>
      <c r="E27" s="12" t="str">
        <f>IF(D27="X",100*0.25,"")</f>
        <v/>
      </c>
      <c r="F27" s="46" t="s">
        <v>94</v>
      </c>
      <c r="G27" s="12">
        <f>IF(F27="X",60*0.25,"")</f>
        <v>15</v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>
      <c r="A28" s="49"/>
      <c r="B28" s="18" t="str">
        <f>RUBRICA!A6</f>
        <v>3. Responde las preguntas realizadas por la comisión, cumpliendo con los estándares de calidad de la disciplina.</v>
      </c>
      <c r="C28" s="16" t="s">
        <v>7</v>
      </c>
      <c r="D28" s="46" t="s">
        <v>94</v>
      </c>
      <c r="E28" s="12">
        <f>IF(D28="X",100*0.2,"")</f>
        <v>20</v>
      </c>
      <c r="F28" s="46"/>
      <c r="G28" s="12" t="str">
        <f>IF(F28="X",60*0.2,"")</f>
        <v/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>
      <c r="A29" s="49"/>
      <c r="B29" s="18" t="str">
        <f>RUBRICA!A7</f>
        <v>4. Expone el Proyecto APT, considerando el formato y el tiempo establecido para la presentación.</v>
      </c>
      <c r="C29" s="16" t="s">
        <v>7</v>
      </c>
      <c r="D29" s="46" t="s">
        <v>94</v>
      </c>
      <c r="E29" s="12">
        <f>IF(D29="X",100*0.05,"")</f>
        <v>5</v>
      </c>
      <c r="F29" s="12"/>
      <c r="G29" s="12" t="str">
        <f>IF(F29="X",60*0.05,"")</f>
        <v/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>
      <c r="A30" s="49"/>
      <c r="B30" s="18" t="str">
        <f>RUBRICA!A8</f>
        <v>5. Expresa sus ideas con fluidez, claridad y precisión, utilizando lenguaje técnico propio de la disciplina.</v>
      </c>
      <c r="C30" s="16" t="s">
        <v>7</v>
      </c>
      <c r="D30" s="46"/>
      <c r="E30" s="12" t="str">
        <f>IF(D30="X",100*0.05,"")</f>
        <v/>
      </c>
      <c r="F30" s="46" t="s">
        <v>94</v>
      </c>
      <c r="G30" s="12">
        <f>IF(F30="X",60*0.05,"")</f>
        <v>3</v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>
      <c r="A31" s="49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7</v>
      </c>
      <c r="D31" s="46" t="s">
        <v>94</v>
      </c>
      <c r="E31" s="12">
        <f>IF(D31="X",100*0.2,"")</f>
        <v>20</v>
      </c>
      <c r="F31" s="46"/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>
      <c r="A32" s="49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7</v>
      </c>
      <c r="D32" s="46" t="s">
        <v>94</v>
      </c>
      <c r="E32" s="12">
        <f>IF(D32="X",100*0.1,"")</f>
        <v>10</v>
      </c>
      <c r="F32" s="46"/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>
      <c r="A33" s="48"/>
      <c r="B33" s="17" t="s">
        <v>11</v>
      </c>
      <c r="C33" s="21">
        <f>E33+G33+I33+K33</f>
        <v>88</v>
      </c>
      <c r="D33" s="13"/>
      <c r="E33" s="13">
        <f>SUM(E26:E32)</f>
        <v>70</v>
      </c>
      <c r="F33" s="13"/>
      <c r="G33" s="13">
        <f>SUM(G26:G32)</f>
        <v>18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0"/>
      <c r="B34" s="20" t="s">
        <v>12</v>
      </c>
      <c r="C34" s="14">
        <f>VLOOKUP(C33,ESCALA_IEP!A15:B215,2,FALSE)</f>
        <v>6.1</v>
      </c>
    </row>
    <row r="35" spans="1:11" ht="16.149999999999999" customHeight="1"/>
    <row r="36" spans="1:11" ht="13.9" customHeight="1"/>
    <row r="37" spans="1:11" ht="24" customHeight="1">
      <c r="A37" s="47" t="s">
        <v>91</v>
      </c>
      <c r="B37" s="11" t="str">
        <f>B6</f>
        <v>Amir Awad-Gabriel Galvez</v>
      </c>
      <c r="C37" s="51" t="s">
        <v>4</v>
      </c>
      <c r="D37" s="53" t="s">
        <v>5</v>
      </c>
      <c r="E37" s="54"/>
      <c r="F37" s="54"/>
      <c r="G37" s="54"/>
      <c r="H37" s="54"/>
      <c r="I37" s="54"/>
      <c r="J37" s="54"/>
      <c r="K37" s="55"/>
    </row>
    <row r="38" spans="1:11" ht="24" customHeight="1">
      <c r="A38" s="48"/>
      <c r="B38" s="15" t="s">
        <v>6</v>
      </c>
      <c r="C38" s="52"/>
      <c r="D38" s="53" t="s">
        <v>7</v>
      </c>
      <c r="E38" s="55"/>
      <c r="F38" s="53" t="s">
        <v>8</v>
      </c>
      <c r="G38" s="55"/>
      <c r="H38" s="56" t="s">
        <v>9</v>
      </c>
      <c r="I38" s="55"/>
      <c r="J38" s="53" t="s">
        <v>10</v>
      </c>
      <c r="K38" s="55"/>
    </row>
    <row r="39" spans="1:11" ht="24" customHeight="1">
      <c r="A39" s="49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7</v>
      </c>
      <c r="D39" s="46" t="s">
        <v>94</v>
      </c>
      <c r="E39" s="12">
        <f>IF(D39="X",100*0.15,"")</f>
        <v>15</v>
      </c>
      <c r="F39" s="46"/>
      <c r="G39" s="12" t="str">
        <f>IF(F39="X",60*0.15,"")</f>
        <v/>
      </c>
      <c r="H39" s="12" t="str">
        <f t="shared" ref="H39:H43" si="8">IF($C39=ML,"X","")</f>
        <v/>
      </c>
      <c r="I39" s="12" t="str">
        <f>IF(H39="X",30*0.15,"")</f>
        <v/>
      </c>
      <c r="J39" s="12" t="str">
        <f t="shared" ref="J39:J43" si="9">IF($C39=NL,"X","")</f>
        <v/>
      </c>
      <c r="K39" s="12" t="str">
        <f t="shared" ref="K39:K45" si="10">IF($J39="X",0,"")</f>
        <v/>
      </c>
    </row>
    <row r="40" spans="1:11" ht="24" customHeight="1">
      <c r="A40" s="49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7</v>
      </c>
      <c r="D40" s="12"/>
      <c r="E40" s="12" t="str">
        <f>IF(D40="X",100*0.25,"")</f>
        <v/>
      </c>
      <c r="F40" s="46" t="s">
        <v>94</v>
      </c>
      <c r="G40" s="12">
        <f>IF(F40="X",60*0.25,"")</f>
        <v>15</v>
      </c>
      <c r="H40" s="12" t="str">
        <f t="shared" si="8"/>
        <v/>
      </c>
      <c r="I40" s="12" t="str">
        <f>IF(H40="X",30*0.25,"")</f>
        <v/>
      </c>
      <c r="J40" s="12" t="str">
        <f t="shared" si="9"/>
        <v/>
      </c>
      <c r="K40" s="12" t="str">
        <f t="shared" si="10"/>
        <v/>
      </c>
    </row>
    <row r="41" spans="1:11" ht="24" customHeight="1">
      <c r="A41" s="49"/>
      <c r="B41" s="18" t="str">
        <f>RUBRICA!A6</f>
        <v>3. Responde las preguntas realizadas por la comisión, cumpliendo con los estándares de calidad de la disciplina.</v>
      </c>
      <c r="C41" s="16" t="s">
        <v>7</v>
      </c>
      <c r="D41" s="46" t="s">
        <v>94</v>
      </c>
      <c r="E41" s="12">
        <f>IF(D41="X",100*0.2,"")</f>
        <v>20</v>
      </c>
      <c r="F41" s="46"/>
      <c r="G41" s="12" t="str">
        <f>IF(F41="X",60*0.2,"")</f>
        <v/>
      </c>
      <c r="H41" s="12" t="str">
        <f t="shared" si="8"/>
        <v/>
      </c>
      <c r="I41" s="12" t="str">
        <f>IF(H41="X",30*0.2,"")</f>
        <v/>
      </c>
      <c r="J41" s="12" t="str">
        <f t="shared" si="9"/>
        <v/>
      </c>
      <c r="K41" s="12" t="str">
        <f t="shared" si="10"/>
        <v/>
      </c>
    </row>
    <row r="42" spans="1:11" ht="24" customHeight="1">
      <c r="A42" s="49"/>
      <c r="B42" s="18" t="str">
        <f>RUBRICA!A7</f>
        <v>4. Expone el Proyecto APT, considerando el formato y el tiempo establecido para la presentación.</v>
      </c>
      <c r="C42" s="16" t="s">
        <v>7</v>
      </c>
      <c r="D42" s="46" t="s">
        <v>94</v>
      </c>
      <c r="E42" s="12">
        <f>IF(D42="X",100*0.05,"")</f>
        <v>5</v>
      </c>
      <c r="F42" s="12"/>
      <c r="G42" s="12" t="str">
        <f>IF(F42="X",60*0.05,"")</f>
        <v/>
      </c>
      <c r="H42" s="12" t="str">
        <f t="shared" si="8"/>
        <v/>
      </c>
      <c r="I42" s="12" t="str">
        <f>IF(H42="X",30*0.05,"")</f>
        <v/>
      </c>
      <c r="J42" s="12" t="str">
        <f t="shared" si="9"/>
        <v/>
      </c>
      <c r="K42" s="12" t="str">
        <f t="shared" si="10"/>
        <v/>
      </c>
    </row>
    <row r="43" spans="1:11" ht="24" customHeight="1">
      <c r="A43" s="49"/>
      <c r="B43" s="18" t="str">
        <f>RUBRICA!A8</f>
        <v>5. Expresa sus ideas con fluidez, claridad y precisión, utilizando lenguaje técnico propio de la disciplina.</v>
      </c>
      <c r="C43" s="16" t="s">
        <v>7</v>
      </c>
      <c r="D43" s="46"/>
      <c r="E43" s="12" t="str">
        <f>IF(D43="X",100*0.05,"")</f>
        <v/>
      </c>
      <c r="F43" s="46" t="s">
        <v>94</v>
      </c>
      <c r="G43" s="12">
        <f>IF(F43="X",60*0.05,"")</f>
        <v>3</v>
      </c>
      <c r="H43" s="12" t="str">
        <f t="shared" si="8"/>
        <v/>
      </c>
      <c r="I43" s="12" t="str">
        <f>IF(H43="X",30*0.05,"")</f>
        <v/>
      </c>
      <c r="J43" s="12" t="str">
        <f t="shared" si="9"/>
        <v/>
      </c>
      <c r="K43" s="12" t="str">
        <f t="shared" si="10"/>
        <v/>
      </c>
    </row>
    <row r="44" spans="1:11" ht="24" customHeight="1">
      <c r="A44" s="49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7</v>
      </c>
      <c r="D44" s="46" t="s">
        <v>94</v>
      </c>
      <c r="E44" s="12">
        <f>IF(D44="X",100*0.2,"")</f>
        <v>20</v>
      </c>
      <c r="F44" s="46"/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0"/>
        <v/>
      </c>
    </row>
    <row r="45" spans="1:11" ht="24" customHeight="1">
      <c r="A45" s="49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7</v>
      </c>
      <c r="D45" s="46" t="s">
        <v>94</v>
      </c>
      <c r="E45" s="12">
        <f>IF(D45="X",100*0.1,"")</f>
        <v>10</v>
      </c>
      <c r="F45" s="46"/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0"/>
        <v/>
      </c>
    </row>
    <row r="46" spans="1:11" ht="24" customHeight="1">
      <c r="A46" s="48"/>
      <c r="B46" s="17" t="s">
        <v>11</v>
      </c>
      <c r="C46" s="21">
        <f>E46+G46+I46+K46</f>
        <v>88</v>
      </c>
      <c r="D46" s="13"/>
      <c r="E46" s="13">
        <f>SUM(E39:E45)</f>
        <v>70</v>
      </c>
      <c r="F46" s="13"/>
      <c r="G46" s="13">
        <f>SUM(G39:G45)</f>
        <v>18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0"/>
      <c r="B47" s="20" t="s">
        <v>12</v>
      </c>
      <c r="C47" s="14">
        <f>VLOOKUP(C46,ESCALA_IEP!A28:B228,2,FALSE)</f>
        <v>6.1</v>
      </c>
    </row>
    <row r="48" spans="1:11" ht="15.75" customHeight="1"/>
    <row r="49" spans="1:11" ht="15.75" customHeight="1"/>
    <row r="50" spans="1:11" ht="24" customHeight="1">
      <c r="A50" s="47" t="s">
        <v>92</v>
      </c>
      <c r="B50" s="11" t="str">
        <f>B4</f>
        <v>Martin Diaz</v>
      </c>
      <c r="C50" s="51" t="s">
        <v>4</v>
      </c>
      <c r="D50" s="53" t="s">
        <v>5</v>
      </c>
      <c r="E50" s="54"/>
      <c r="F50" s="54"/>
      <c r="G50" s="54"/>
      <c r="H50" s="54"/>
      <c r="I50" s="54"/>
      <c r="J50" s="54"/>
      <c r="K50" s="55"/>
    </row>
    <row r="51" spans="1:11" ht="24" customHeight="1">
      <c r="A51" s="48"/>
      <c r="B51" s="15" t="s">
        <v>6</v>
      </c>
      <c r="C51" s="52"/>
      <c r="D51" s="53" t="s">
        <v>7</v>
      </c>
      <c r="E51" s="55"/>
      <c r="F51" s="53" t="s">
        <v>8</v>
      </c>
      <c r="G51" s="55"/>
      <c r="H51" s="56" t="s">
        <v>9</v>
      </c>
      <c r="I51" s="55"/>
      <c r="J51" s="53" t="s">
        <v>10</v>
      </c>
      <c r="K51" s="55"/>
    </row>
    <row r="52" spans="1:11" ht="24" customHeight="1">
      <c r="A52" s="49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7</v>
      </c>
      <c r="D52" s="46" t="s">
        <v>94</v>
      </c>
      <c r="E52" s="12">
        <f>IF(D52="X",100*0.15,"")</f>
        <v>15</v>
      </c>
      <c r="F52" s="12" t="str">
        <f t="shared" ref="F52:F53" si="11">IF($C52=L,"X","")</f>
        <v/>
      </c>
      <c r="G52" s="12" t="str">
        <f>IF(F52="X",60*0.15,"")</f>
        <v/>
      </c>
      <c r="H52" s="12" t="str">
        <f t="shared" ref="H52:H56" si="12">IF($C52=ML,"X","")</f>
        <v/>
      </c>
      <c r="I52" s="12" t="str">
        <f>IF(H52="X",30*0.15,"")</f>
        <v/>
      </c>
      <c r="J52" s="12" t="str">
        <f t="shared" ref="J52:J56" si="13">IF($C52=NL,"X","")</f>
        <v/>
      </c>
      <c r="K52" s="12" t="str">
        <f t="shared" ref="K52:K58" si="14">IF($J52="X",0,"")</f>
        <v/>
      </c>
    </row>
    <row r="53" spans="1:11" ht="24" customHeight="1">
      <c r="A53" s="49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7</v>
      </c>
      <c r="D53" s="46" t="s">
        <v>94</v>
      </c>
      <c r="E53" s="12">
        <f>IF(D53="X",100*0.25,"")</f>
        <v>25</v>
      </c>
      <c r="F53" s="12" t="str">
        <f t="shared" si="11"/>
        <v/>
      </c>
      <c r="G53" s="12" t="str">
        <f>IF(F53="X",60*0.25,"")</f>
        <v/>
      </c>
      <c r="H53" s="12" t="str">
        <f t="shared" si="12"/>
        <v/>
      </c>
      <c r="I53" s="12" t="str">
        <f>IF(H53="X",30*0.25,"")</f>
        <v/>
      </c>
      <c r="J53" s="12" t="str">
        <f t="shared" si="13"/>
        <v/>
      </c>
      <c r="K53" s="12" t="str">
        <f t="shared" si="14"/>
        <v/>
      </c>
    </row>
    <row r="54" spans="1:11" ht="24" customHeight="1">
      <c r="A54" s="49"/>
      <c r="B54" s="18" t="str">
        <f>RUBRICA!A6</f>
        <v>3. Responde las preguntas realizadas por la comisión, cumpliendo con los estándares de calidad de la disciplina.</v>
      </c>
      <c r="C54" s="16" t="s">
        <v>7</v>
      </c>
      <c r="D54" s="46" t="s">
        <v>94</v>
      </c>
      <c r="E54" s="12">
        <f>IF(D54="X",100*0.2,"")</f>
        <v>20</v>
      </c>
      <c r="F54" s="46"/>
      <c r="G54" s="12" t="str">
        <f>IF(F54="X",60*0.2,"")</f>
        <v/>
      </c>
      <c r="H54" s="12" t="str">
        <f t="shared" si="12"/>
        <v/>
      </c>
      <c r="I54" s="12" t="str">
        <f>IF(H54="X",30*0.2,"")</f>
        <v/>
      </c>
      <c r="J54" s="12" t="str">
        <f t="shared" si="13"/>
        <v/>
      </c>
      <c r="K54" s="12" t="str">
        <f t="shared" si="14"/>
        <v/>
      </c>
    </row>
    <row r="55" spans="1:11" ht="24" customHeight="1">
      <c r="A55" s="49"/>
      <c r="B55" s="18" t="str">
        <f>RUBRICA!A7</f>
        <v>4. Expone el Proyecto APT, considerando el formato y el tiempo establecido para la presentación.</v>
      </c>
      <c r="C55" s="16" t="s">
        <v>7</v>
      </c>
      <c r="D55" s="46"/>
      <c r="E55" s="12" t="str">
        <f>IF(D55="X",100*0.05,"")</f>
        <v/>
      </c>
      <c r="F55" s="46" t="s">
        <v>94</v>
      </c>
      <c r="G55" s="12">
        <f>IF(F55="X",60*0.05,"")</f>
        <v>3</v>
      </c>
      <c r="H55" s="12" t="str">
        <f t="shared" si="12"/>
        <v/>
      </c>
      <c r="I55" s="12" t="str">
        <f>IF(H55="X",30*0.05,"")</f>
        <v/>
      </c>
      <c r="J55" s="12" t="str">
        <f t="shared" si="13"/>
        <v/>
      </c>
      <c r="K55" s="12" t="str">
        <f t="shared" si="14"/>
        <v/>
      </c>
    </row>
    <row r="56" spans="1:11" ht="24" customHeight="1">
      <c r="A56" s="49"/>
      <c r="B56" s="18" t="str">
        <f>RUBRICA!A8</f>
        <v>5. Expresa sus ideas con fluidez, claridad y precisión, utilizando lenguaje técnico propio de la disciplina.</v>
      </c>
      <c r="C56" s="16" t="s">
        <v>7</v>
      </c>
      <c r="D56" s="46"/>
      <c r="E56" s="12" t="str">
        <f>IF(D56="X",100*0.05,"")</f>
        <v/>
      </c>
      <c r="F56" s="46" t="s">
        <v>94</v>
      </c>
      <c r="G56" s="12">
        <f>IF(F56="X",60*0.05,"")</f>
        <v>3</v>
      </c>
      <c r="H56" s="12" t="str">
        <f t="shared" si="12"/>
        <v/>
      </c>
      <c r="I56" s="12" t="str">
        <f>IF(H56="X",30*0.05,"")</f>
        <v/>
      </c>
      <c r="J56" s="12" t="str">
        <f t="shared" si="13"/>
        <v/>
      </c>
      <c r="K56" s="12" t="str">
        <f t="shared" si="14"/>
        <v/>
      </c>
    </row>
    <row r="57" spans="1:11" ht="24" customHeight="1">
      <c r="A57" s="49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7</v>
      </c>
      <c r="D57" s="46" t="s">
        <v>94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4"/>
        <v/>
      </c>
    </row>
    <row r="58" spans="1:11" ht="24" customHeight="1">
      <c r="A58" s="49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7</v>
      </c>
      <c r="D58" s="46"/>
      <c r="E58" s="12" t="str">
        <f>IF(D58="X",100*0.1,"")</f>
        <v/>
      </c>
      <c r="F58" s="46" t="s">
        <v>94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4"/>
        <v/>
      </c>
    </row>
    <row r="59" spans="1:11" ht="24" customHeight="1">
      <c r="A59" s="48"/>
      <c r="B59" s="17" t="s">
        <v>11</v>
      </c>
      <c r="C59" s="21">
        <f>E59+G59+I59+K59</f>
        <v>92</v>
      </c>
      <c r="D59" s="13"/>
      <c r="E59" s="13">
        <f>SUM(E52:E58)</f>
        <v>80</v>
      </c>
      <c r="F59" s="13"/>
      <c r="G59" s="13">
        <f>SUM(G52:G58)</f>
        <v>12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50"/>
      <c r="B60" s="20" t="s">
        <v>12</v>
      </c>
      <c r="C60" s="14">
        <f>VLOOKUP(C59,ESCALA_IEP!A41:B241,2,FALSE)</f>
        <v>6.4</v>
      </c>
    </row>
    <row r="61" spans="1:11" ht="15.75" customHeight="1"/>
    <row r="62" spans="1:11" ht="15.75" customHeight="1"/>
    <row r="63" spans="1:11" ht="24" customHeight="1">
      <c r="A63" s="47" t="s">
        <v>92</v>
      </c>
      <c r="B63" s="11" t="str">
        <f>B5</f>
        <v>Jose Jimenez</v>
      </c>
      <c r="C63" s="51" t="s">
        <v>4</v>
      </c>
      <c r="D63" s="53" t="s">
        <v>5</v>
      </c>
      <c r="E63" s="54"/>
      <c r="F63" s="54"/>
      <c r="G63" s="54"/>
      <c r="H63" s="54"/>
      <c r="I63" s="54"/>
      <c r="J63" s="54"/>
      <c r="K63" s="55"/>
    </row>
    <row r="64" spans="1:11" ht="24" customHeight="1">
      <c r="A64" s="48"/>
      <c r="B64" s="15" t="s">
        <v>6</v>
      </c>
      <c r="C64" s="52"/>
      <c r="D64" s="53" t="s">
        <v>7</v>
      </c>
      <c r="E64" s="55"/>
      <c r="F64" s="53" t="s">
        <v>8</v>
      </c>
      <c r="G64" s="55"/>
      <c r="H64" s="56" t="s">
        <v>9</v>
      </c>
      <c r="I64" s="55"/>
      <c r="J64" s="53" t="s">
        <v>10</v>
      </c>
      <c r="K64" s="55"/>
    </row>
    <row r="65" spans="1:11" ht="24" customHeight="1">
      <c r="A65" s="49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7</v>
      </c>
      <c r="D65" s="46" t="s">
        <v>94</v>
      </c>
      <c r="E65" s="12">
        <f>IF(D65="X",100*0.15,"")</f>
        <v>15</v>
      </c>
      <c r="F65" s="12" t="str">
        <f t="shared" ref="F65:F68" si="15">IF($C65=L,"X","")</f>
        <v/>
      </c>
      <c r="G65" s="12" t="str">
        <f>IF(F65="X",60*0.15,"")</f>
        <v/>
      </c>
      <c r="H65" s="12" t="str">
        <f t="shared" ref="H65:H69" si="16">IF($C65=ML,"X","")</f>
        <v/>
      </c>
      <c r="I65" s="12" t="str">
        <f>IF(H65="X",30*0.15,"")</f>
        <v/>
      </c>
      <c r="J65" s="12" t="str">
        <f t="shared" ref="J65:J69" si="17">IF($C65=NL,"X","")</f>
        <v/>
      </c>
      <c r="K65" s="12" t="str">
        <f t="shared" ref="K65:K71" si="18">IF($J65="X",0,"")</f>
        <v/>
      </c>
    </row>
    <row r="66" spans="1:11" ht="24" customHeight="1">
      <c r="A66" s="49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7</v>
      </c>
      <c r="D66" s="46" t="s">
        <v>94</v>
      </c>
      <c r="E66" s="12">
        <f>IF(D66="X",100*0.25,"")</f>
        <v>25</v>
      </c>
      <c r="F66" s="12" t="str">
        <f t="shared" si="15"/>
        <v/>
      </c>
      <c r="G66" s="12" t="str">
        <f>IF(F66="X",60*0.25,"")</f>
        <v/>
      </c>
      <c r="H66" s="12" t="str">
        <f t="shared" si="16"/>
        <v/>
      </c>
      <c r="I66" s="12" t="str">
        <f>IF(H66="X",30*0.25,"")</f>
        <v/>
      </c>
      <c r="J66" s="12" t="str">
        <f t="shared" si="17"/>
        <v/>
      </c>
      <c r="K66" s="12" t="str">
        <f t="shared" si="18"/>
        <v/>
      </c>
    </row>
    <row r="67" spans="1:11" ht="24" customHeight="1">
      <c r="A67" s="49"/>
      <c r="B67" s="18" t="str">
        <f>RUBRICA!A6</f>
        <v>3. Responde las preguntas realizadas por la comisión, cumpliendo con los estándares de calidad de la disciplina.</v>
      </c>
      <c r="C67" s="16" t="s">
        <v>7</v>
      </c>
      <c r="D67" s="12"/>
      <c r="E67" s="12" t="str">
        <f>IF(D67="X",100*0.2,"")</f>
        <v/>
      </c>
      <c r="F67" s="46" t="s">
        <v>94</v>
      </c>
      <c r="G67" s="12">
        <f>IF(F67="X",60*0.2,"")</f>
        <v>12</v>
      </c>
      <c r="H67" s="12" t="str">
        <f t="shared" si="16"/>
        <v/>
      </c>
      <c r="I67" s="12" t="str">
        <f>IF(H67="X",30*0.2,"")</f>
        <v/>
      </c>
      <c r="J67" s="12" t="str">
        <f t="shared" si="17"/>
        <v/>
      </c>
      <c r="K67" s="12" t="str">
        <f t="shared" si="18"/>
        <v/>
      </c>
    </row>
    <row r="68" spans="1:11" ht="24" customHeight="1">
      <c r="A68" s="49"/>
      <c r="B68" s="18" t="str">
        <f>RUBRICA!A7</f>
        <v>4. Expone el Proyecto APT, considerando el formato y el tiempo establecido para la presentación.</v>
      </c>
      <c r="C68" s="16" t="s">
        <v>7</v>
      </c>
      <c r="D68" s="46" t="s">
        <v>94</v>
      </c>
      <c r="E68" s="12">
        <f>IF(D68="X",100*0.05,"")</f>
        <v>5</v>
      </c>
      <c r="F68" s="12" t="str">
        <f t="shared" si="15"/>
        <v/>
      </c>
      <c r="G68" s="12" t="str">
        <f>IF(F68="X",60*0.05,"")</f>
        <v/>
      </c>
      <c r="H68" s="12" t="str">
        <f t="shared" si="16"/>
        <v/>
      </c>
      <c r="I68" s="12" t="str">
        <f>IF(H68="X",30*0.05,"")</f>
        <v/>
      </c>
      <c r="J68" s="12" t="str">
        <f t="shared" si="17"/>
        <v/>
      </c>
      <c r="K68" s="12" t="str">
        <f t="shared" si="18"/>
        <v/>
      </c>
    </row>
    <row r="69" spans="1:11" ht="24" customHeight="1">
      <c r="A69" s="49"/>
      <c r="B69" s="18" t="str">
        <f>RUBRICA!A8</f>
        <v>5. Expresa sus ideas con fluidez, claridad y precisión, utilizando lenguaje técnico propio de la disciplina.</v>
      </c>
      <c r="C69" s="16" t="s">
        <v>7</v>
      </c>
      <c r="D69" s="12"/>
      <c r="E69" s="12" t="str">
        <f>IF(D69="X",100*0.05,"")</f>
        <v/>
      </c>
      <c r="F69" s="46" t="s">
        <v>94</v>
      </c>
      <c r="G69" s="12">
        <f>IF(F69="X",60*0.05,"")</f>
        <v>3</v>
      </c>
      <c r="H69" s="12" t="str">
        <f t="shared" si="16"/>
        <v/>
      </c>
      <c r="I69" s="12" t="str">
        <f>IF(H69="X",30*0.05,"")</f>
        <v/>
      </c>
      <c r="J69" s="12" t="str">
        <f t="shared" si="17"/>
        <v/>
      </c>
      <c r="K69" s="12" t="str">
        <f t="shared" si="18"/>
        <v/>
      </c>
    </row>
    <row r="70" spans="1:11" ht="24" customHeight="1">
      <c r="A70" s="49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7</v>
      </c>
      <c r="D70" s="46" t="s">
        <v>94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8"/>
        <v/>
      </c>
    </row>
    <row r="71" spans="1:11" ht="24" customHeight="1">
      <c r="A71" s="49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7</v>
      </c>
      <c r="D71" s="46" t="s">
        <v>94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8"/>
        <v/>
      </c>
    </row>
    <row r="72" spans="1:11" ht="24" customHeight="1">
      <c r="A72" s="48"/>
      <c r="B72" s="17" t="s">
        <v>11</v>
      </c>
      <c r="C72" s="21">
        <f>E72+G72+I72+K72</f>
        <v>90</v>
      </c>
      <c r="D72" s="13"/>
      <c r="E72" s="13">
        <f>SUM(E65:E71)</f>
        <v>75</v>
      </c>
      <c r="F72" s="13"/>
      <c r="G72" s="13">
        <f>SUM(G65:G71)</f>
        <v>15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50"/>
      <c r="B73" s="20" t="s">
        <v>12</v>
      </c>
      <c r="C73" s="14">
        <f>VLOOKUP(C72,ESCALA_IEP!A54:B254,2,FALSE)</f>
        <v>6.3</v>
      </c>
    </row>
    <row r="74" spans="1:11" ht="15.75" customHeight="1"/>
    <row r="75" spans="1:11" ht="15.75" customHeight="1"/>
    <row r="76" spans="1:11" ht="24" customHeight="1">
      <c r="A76" s="47" t="s">
        <v>92</v>
      </c>
      <c r="B76" s="11" t="str">
        <f>B37</f>
        <v>Amir Awad-Gabriel Galvez</v>
      </c>
      <c r="C76" s="51" t="s">
        <v>4</v>
      </c>
      <c r="D76" s="53" t="s">
        <v>5</v>
      </c>
      <c r="E76" s="54"/>
      <c r="F76" s="54"/>
      <c r="G76" s="54"/>
      <c r="H76" s="54"/>
      <c r="I76" s="54"/>
      <c r="J76" s="54"/>
      <c r="K76" s="55"/>
    </row>
    <row r="77" spans="1:11" ht="24" customHeight="1">
      <c r="A77" s="48"/>
      <c r="B77" s="15" t="s">
        <v>6</v>
      </c>
      <c r="C77" s="52"/>
      <c r="D77" s="53" t="s">
        <v>7</v>
      </c>
      <c r="E77" s="55"/>
      <c r="F77" s="53" t="s">
        <v>8</v>
      </c>
      <c r="G77" s="55"/>
      <c r="H77" s="56" t="s">
        <v>9</v>
      </c>
      <c r="I77" s="55"/>
      <c r="J77" s="53" t="s">
        <v>10</v>
      </c>
      <c r="K77" s="55"/>
    </row>
    <row r="78" spans="1:11" ht="24" customHeight="1">
      <c r="A78" s="49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7</v>
      </c>
      <c r="D78" s="12"/>
      <c r="E78" s="12" t="str">
        <f>IF(D78="X",100*0.15,"")</f>
        <v/>
      </c>
      <c r="F78" s="12" t="str">
        <f t="shared" ref="F78:F82" si="19">IF($C78=L,"X","")</f>
        <v/>
      </c>
      <c r="G78" s="12" t="str">
        <f>IF(F78="X",60*0.15,"")</f>
        <v/>
      </c>
      <c r="H78" s="12" t="str">
        <f t="shared" ref="H78:H82" si="20">IF($C78=ML,"X","")</f>
        <v/>
      </c>
      <c r="I78" s="12" t="str">
        <f>IF(H78="X",30*0.15,"")</f>
        <v/>
      </c>
      <c r="J78" s="12" t="str">
        <f t="shared" ref="J78:J82" si="21">IF($C78=NL,"X","")</f>
        <v/>
      </c>
      <c r="K78" s="12" t="str">
        <f t="shared" ref="K78:K84" si="22">IF($J78="X",0,"")</f>
        <v/>
      </c>
    </row>
    <row r="79" spans="1:11" ht="24" customHeight="1">
      <c r="A79" s="49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7</v>
      </c>
      <c r="D79" s="12"/>
      <c r="E79" s="12" t="str">
        <f>IF(D79="X",100*0.25,"")</f>
        <v/>
      </c>
      <c r="F79" s="12" t="str">
        <f t="shared" si="19"/>
        <v/>
      </c>
      <c r="G79" s="12" t="str">
        <f>IF(F79="X",60*0.25,"")</f>
        <v/>
      </c>
      <c r="H79" s="12" t="str">
        <f t="shared" si="20"/>
        <v/>
      </c>
      <c r="I79" s="12" t="str">
        <f>IF(H79="X",30*0.25,"")</f>
        <v/>
      </c>
      <c r="J79" s="12" t="str">
        <f t="shared" si="21"/>
        <v/>
      </c>
      <c r="K79" s="12" t="str">
        <f t="shared" si="22"/>
        <v/>
      </c>
    </row>
    <row r="80" spans="1:11" ht="24" customHeight="1">
      <c r="A80" s="49"/>
      <c r="B80" s="18" t="str">
        <f>RUBRICA!A6</f>
        <v>3. Responde las preguntas realizadas por la comisión, cumpliendo con los estándares de calidad de la disciplina.</v>
      </c>
      <c r="C80" s="16" t="s">
        <v>7</v>
      </c>
      <c r="D80" s="12"/>
      <c r="E80" s="12" t="str">
        <f>IF(D80="X",100*0.2,"")</f>
        <v/>
      </c>
      <c r="F80" s="12" t="str">
        <f t="shared" si="19"/>
        <v/>
      </c>
      <c r="G80" s="12" t="str">
        <f>IF(F80="X",60*0.2,"")</f>
        <v/>
      </c>
      <c r="H80" s="12" t="str">
        <f t="shared" si="20"/>
        <v/>
      </c>
      <c r="I80" s="12" t="str">
        <f>IF(H80="X",30*0.2,"")</f>
        <v/>
      </c>
      <c r="J80" s="12" t="str">
        <f t="shared" si="21"/>
        <v/>
      </c>
      <c r="K80" s="12" t="str">
        <f t="shared" si="22"/>
        <v/>
      </c>
    </row>
    <row r="81" spans="1:11" ht="24" customHeight="1">
      <c r="A81" s="49"/>
      <c r="B81" s="18" t="str">
        <f>RUBRICA!A7</f>
        <v>4. Expone el Proyecto APT, considerando el formato y el tiempo establecido para la presentación.</v>
      </c>
      <c r="C81" s="16" t="s">
        <v>7</v>
      </c>
      <c r="D81" s="12"/>
      <c r="E81" s="12" t="str">
        <f>IF(D81="X",100*0.05,"")</f>
        <v/>
      </c>
      <c r="F81" s="12" t="str">
        <f t="shared" si="19"/>
        <v/>
      </c>
      <c r="G81" s="12" t="str">
        <f>IF(F81="X",60*0.05,"")</f>
        <v/>
      </c>
      <c r="H81" s="12" t="str">
        <f t="shared" si="20"/>
        <v/>
      </c>
      <c r="I81" s="12" t="str">
        <f>IF(H81="X",30*0.05,"")</f>
        <v/>
      </c>
      <c r="J81" s="12" t="str">
        <f t="shared" si="21"/>
        <v/>
      </c>
      <c r="K81" s="12" t="str">
        <f t="shared" si="22"/>
        <v/>
      </c>
    </row>
    <row r="82" spans="1:11" ht="24" customHeight="1">
      <c r="A82" s="49"/>
      <c r="B82" s="18" t="str">
        <f>RUBRICA!A8</f>
        <v>5. Expresa sus ideas con fluidez, claridad y precisión, utilizando lenguaje técnico propio de la disciplina.</v>
      </c>
      <c r="C82" s="16" t="s">
        <v>7</v>
      </c>
      <c r="D82" s="12"/>
      <c r="E82" s="12" t="str">
        <f>IF(D82="X",100*0.05,"")</f>
        <v/>
      </c>
      <c r="F82" s="12" t="str">
        <f t="shared" si="19"/>
        <v/>
      </c>
      <c r="G82" s="12" t="str">
        <f>IF(F82="X",60*0.05,"")</f>
        <v/>
      </c>
      <c r="H82" s="12" t="str">
        <f t="shared" si="20"/>
        <v/>
      </c>
      <c r="I82" s="12" t="str">
        <f>IF(H82="X",30*0.05,"")</f>
        <v/>
      </c>
      <c r="J82" s="12" t="str">
        <f t="shared" si="21"/>
        <v/>
      </c>
      <c r="K82" s="12" t="str">
        <f t="shared" si="22"/>
        <v/>
      </c>
    </row>
    <row r="83" spans="1:11" ht="24" customHeight="1">
      <c r="A83" s="49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7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2"/>
        <v/>
      </c>
    </row>
    <row r="84" spans="1:11" ht="24" customHeight="1">
      <c r="A84" s="49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7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2"/>
        <v/>
      </c>
    </row>
    <row r="85" spans="1:11" ht="24" customHeight="1">
      <c r="A85" s="48"/>
      <c r="B85" s="17" t="s">
        <v>11</v>
      </c>
      <c r="C85" s="21">
        <f>E85+G85+I85+K85</f>
        <v>0</v>
      </c>
      <c r="D85" s="13"/>
      <c r="E85" s="13">
        <f>SUM(E78:E84)</f>
        <v>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0"/>
      <c r="B86" s="20" t="s">
        <v>12</v>
      </c>
      <c r="C86" s="14" t="e">
        <f>VLOOKUP(C85,ESCALA_IEP!A67:B267,2,FALSE)</f>
        <v>#N/A</v>
      </c>
    </row>
    <row r="87" spans="1:11" ht="15.75" customHeight="1"/>
    <row r="88" spans="1:11" ht="15.75" customHeight="1">
      <c r="B88" s="39" t="s">
        <v>77</v>
      </c>
    </row>
    <row r="89" spans="1:11" ht="15.75" customHeight="1">
      <c r="B89" s="39" t="s">
        <v>74</v>
      </c>
    </row>
    <row r="90" spans="1:11" ht="15.75" customHeight="1">
      <c r="B90" s="43" t="s">
        <v>78</v>
      </c>
    </row>
    <row r="91" spans="1:11" ht="15.75" customHeight="1">
      <c r="B91" s="44" t="s">
        <v>75</v>
      </c>
    </row>
    <row r="92" spans="1:11" ht="15.75" customHeight="1">
      <c r="B92" s="42" t="s">
        <v>76</v>
      </c>
    </row>
    <row r="93" spans="1:11" ht="15.75" customHeight="1">
      <c r="B93" s="39" t="s">
        <v>68</v>
      </c>
    </row>
    <row r="94" spans="1:11" ht="15.75" customHeight="1">
      <c r="B94" s="39" t="s">
        <v>73</v>
      </c>
    </row>
    <row r="95" spans="1:11" ht="15.75" customHeight="1">
      <c r="B95" s="39" t="s">
        <v>69</v>
      </c>
    </row>
    <row r="96" spans="1:11" ht="15.75" customHeight="1">
      <c r="B96" s="39" t="s">
        <v>65</v>
      </c>
    </row>
    <row r="97" spans="2:2" ht="15.75" customHeight="1">
      <c r="B97" s="39" t="s">
        <v>70</v>
      </c>
    </row>
    <row r="98" spans="2:2" ht="15.75" customHeight="1">
      <c r="B98" s="43" t="s">
        <v>82</v>
      </c>
    </row>
    <row r="99" spans="2:2" ht="15.75" customHeight="1">
      <c r="B99" s="42" t="s">
        <v>87</v>
      </c>
    </row>
    <row r="100" spans="2:2" ht="15.75" customHeight="1">
      <c r="B100" s="39" t="s">
        <v>71</v>
      </c>
    </row>
    <row r="101" spans="2:2" ht="15.75" customHeight="1">
      <c r="B101" s="44" t="s">
        <v>66</v>
      </c>
    </row>
    <row r="102" spans="2:2" ht="15.75" customHeight="1">
      <c r="B102" s="39" t="s">
        <v>83</v>
      </c>
    </row>
    <row r="103" spans="2:2" ht="15.75" customHeight="1">
      <c r="B103" s="39" t="s">
        <v>84</v>
      </c>
    </row>
    <row r="104" spans="2:2" ht="15.75" customHeight="1">
      <c r="B104" s="39" t="s">
        <v>62</v>
      </c>
    </row>
    <row r="105" spans="2:2" ht="15.75" customHeight="1">
      <c r="B105" s="39" t="s">
        <v>61</v>
      </c>
    </row>
    <row r="106" spans="2:2" ht="15.75" customHeight="1">
      <c r="B106" s="44" t="s">
        <v>88</v>
      </c>
    </row>
    <row r="107" spans="2:2" ht="15.75" customHeight="1">
      <c r="B107" s="43" t="s">
        <v>59</v>
      </c>
    </row>
    <row r="108" spans="2:2" ht="15.75" customHeight="1">
      <c r="B108" s="44" t="s">
        <v>60</v>
      </c>
    </row>
    <row r="109" spans="2:2" ht="15.75" customHeight="1">
      <c r="B109" s="43" t="s">
        <v>85</v>
      </c>
    </row>
    <row r="110" spans="2:2" ht="15.75" customHeight="1">
      <c r="B110" s="43" t="s">
        <v>64</v>
      </c>
    </row>
    <row r="111" spans="2:2" ht="15.75" customHeight="1">
      <c r="B111" s="39" t="s">
        <v>63</v>
      </c>
    </row>
    <row r="112" spans="2:2" ht="15.75" customHeight="1">
      <c r="B112" s="39" t="s">
        <v>67</v>
      </c>
    </row>
    <row r="113" spans="2:2" ht="15.75" customHeight="1">
      <c r="B113" s="43" t="s">
        <v>72</v>
      </c>
    </row>
    <row r="114" spans="2:2" ht="15.75" customHeight="1"/>
    <row r="115" spans="2:2" ht="15.75" customHeight="1"/>
    <row r="116" spans="2:2" ht="15.75" customHeight="1">
      <c r="B116" s="40" t="s">
        <v>86</v>
      </c>
    </row>
    <row r="117" spans="2:2" ht="15.75" customHeight="1"/>
    <row r="118" spans="2:2" ht="15.75" customHeight="1"/>
    <row r="119" spans="2:2" ht="15.75" customHeight="1">
      <c r="B119" s="41"/>
    </row>
    <row r="120" spans="2:2" ht="15.75" customHeight="1"/>
    <row r="121" spans="2:2" ht="15.75" customHeight="1"/>
    <row r="122" spans="2:2" ht="15.75" customHeight="1"/>
    <row r="123" spans="2:2" ht="15.75" customHeight="1"/>
    <row r="124" spans="2:2" ht="15.75" customHeight="1"/>
    <row r="125" spans="2:2" ht="15.75" customHeight="1"/>
    <row r="126" spans="2:2" ht="15.75" customHeight="1"/>
    <row r="127" spans="2:2" ht="15.75" customHeight="1"/>
    <row r="128" spans="2: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57" t="s">
        <v>13</v>
      </c>
      <c r="B1" s="59" t="s">
        <v>14</v>
      </c>
      <c r="C1" s="60"/>
      <c r="D1" s="60"/>
      <c r="E1" s="61"/>
      <c r="F1" s="57" t="s">
        <v>15</v>
      </c>
    </row>
    <row r="2" spans="1:6">
      <c r="A2" s="58"/>
      <c r="B2" s="62" t="s">
        <v>16</v>
      </c>
      <c r="C2" s="62" t="s">
        <v>17</v>
      </c>
      <c r="D2" s="24" t="s">
        <v>18</v>
      </c>
      <c r="E2" s="25" t="s">
        <v>10</v>
      </c>
      <c r="F2" s="58"/>
    </row>
    <row r="3" spans="1:6">
      <c r="A3" s="58"/>
      <c r="B3" s="63"/>
      <c r="C3" s="63"/>
      <c r="D3" s="26">
        <v>0.3</v>
      </c>
      <c r="E3" s="26">
        <v>0</v>
      </c>
      <c r="F3" s="58"/>
    </row>
    <row r="4" spans="1:6" ht="102">
      <c r="A4" s="22" t="s">
        <v>19</v>
      </c>
      <c r="B4" s="22" t="s">
        <v>20</v>
      </c>
      <c r="C4" s="22" t="s">
        <v>21</v>
      </c>
      <c r="D4" s="22" t="s">
        <v>22</v>
      </c>
      <c r="E4" s="22" t="s">
        <v>23</v>
      </c>
      <c r="F4" s="27">
        <v>15</v>
      </c>
    </row>
    <row r="5" spans="1:6" ht="136.9" customHeight="1">
      <c r="A5" s="22" t="s">
        <v>24</v>
      </c>
      <c r="B5" s="22" t="s">
        <v>25</v>
      </c>
      <c r="C5" s="22" t="s">
        <v>26</v>
      </c>
      <c r="D5" s="22" t="s">
        <v>27</v>
      </c>
      <c r="E5" s="22" t="s">
        <v>28</v>
      </c>
      <c r="F5" s="27">
        <v>25</v>
      </c>
    </row>
    <row r="6" spans="1:6" ht="87" customHeight="1">
      <c r="A6" s="22" t="s">
        <v>29</v>
      </c>
      <c r="B6" s="22" t="s">
        <v>30</v>
      </c>
      <c r="C6" s="22" t="s">
        <v>31</v>
      </c>
      <c r="D6" s="22" t="s">
        <v>32</v>
      </c>
      <c r="E6" s="22" t="s">
        <v>33</v>
      </c>
      <c r="F6" s="27">
        <v>20</v>
      </c>
    </row>
    <row r="7" spans="1:6" ht="89.25">
      <c r="A7" s="22" t="s">
        <v>34</v>
      </c>
      <c r="B7" s="22" t="s">
        <v>35</v>
      </c>
      <c r="C7" s="22" t="s">
        <v>36</v>
      </c>
      <c r="D7" s="22" t="s">
        <v>37</v>
      </c>
      <c r="E7" s="22" t="s">
        <v>38</v>
      </c>
      <c r="F7" s="27">
        <v>5</v>
      </c>
    </row>
    <row r="8" spans="1:6" ht="89.25">
      <c r="A8" s="22" t="s">
        <v>39</v>
      </c>
      <c r="B8" s="22" t="s">
        <v>40</v>
      </c>
      <c r="C8" s="22" t="s">
        <v>41</v>
      </c>
      <c r="D8" s="22" t="s">
        <v>42</v>
      </c>
      <c r="E8" s="22" t="s">
        <v>43</v>
      </c>
      <c r="F8" s="27">
        <v>5</v>
      </c>
    </row>
    <row r="9" spans="1:6" ht="89.25">
      <c r="A9" s="22" t="s">
        <v>44</v>
      </c>
      <c r="B9" s="22" t="s">
        <v>45</v>
      </c>
      <c r="C9" s="22" t="s">
        <v>46</v>
      </c>
      <c r="D9" s="22" t="s">
        <v>47</v>
      </c>
      <c r="E9" s="22" t="s">
        <v>48</v>
      </c>
      <c r="F9" s="23">
        <v>20</v>
      </c>
    </row>
    <row r="10" spans="1:6" ht="126" customHeight="1">
      <c r="A10" s="22" t="s">
        <v>49</v>
      </c>
      <c r="B10" s="22" t="s">
        <v>50</v>
      </c>
      <c r="C10" s="22" t="s">
        <v>51</v>
      </c>
      <c r="D10" s="22" t="s">
        <v>52</v>
      </c>
      <c r="E10" s="22" t="s">
        <v>53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11</v>
      </c>
      <c r="B1" t="s">
        <v>12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54</v>
      </c>
      <c r="B1" t="s">
        <v>55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11</v>
      </c>
      <c r="B1" t="s">
        <v>12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64" t="s">
        <v>56</v>
      </c>
      <c r="B1" s="4" t="s">
        <v>11</v>
      </c>
      <c r="C1" s="5"/>
      <c r="D1" s="5"/>
      <c r="E1" s="6"/>
    </row>
    <row r="2" spans="1:5" ht="45.75" thickBot="1">
      <c r="A2" s="65"/>
      <c r="B2" s="7" t="s">
        <v>7</v>
      </c>
      <c r="C2" s="8" t="s">
        <v>8</v>
      </c>
      <c r="D2" s="19" t="s">
        <v>57</v>
      </c>
      <c r="E2" s="37" t="s">
        <v>10</v>
      </c>
    </row>
    <row r="3" spans="1:5" ht="30.75" thickBot="1">
      <c r="A3" s="9" t="s">
        <v>58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Prometheus</cp:lastModifiedBy>
  <cp:revision/>
  <dcterms:created xsi:type="dcterms:W3CDTF">2023-08-07T04:08:01Z</dcterms:created>
  <dcterms:modified xsi:type="dcterms:W3CDTF">2025-12-12T03:48:35Z</dcterms:modified>
  <cp:category/>
  <cp:contentStatus/>
</cp:coreProperties>
</file>