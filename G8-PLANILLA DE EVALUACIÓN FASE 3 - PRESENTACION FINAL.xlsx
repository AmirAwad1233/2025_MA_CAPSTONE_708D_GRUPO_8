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lakp\Downloads\"/>
    </mc:Choice>
  </mc:AlternateContent>
  <xr:revisionPtr revIDLastSave="0" documentId="13_ncr:1_{AEF73A15-7D39-4D7A-BC36-379C62B4FC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ALUACION FASE 3" sheetId="1" r:id="rId1"/>
    <sheet name="RUBRICA" sheetId="2" r:id="rId2"/>
    <sheet name="ESCALA_IEP" sheetId="3" state="hidden" r:id="rId3"/>
    <sheet name="ESCALA_PRESENTACION" sheetId="4" state="hidden" r:id="rId4"/>
    <sheet name="ESCALA_TRAB_EQUIP" sheetId="5" state="hidden" r:id="rId5"/>
    <sheet name="RELEVANCIA-PUNTAJE" sheetId="6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LbOGlUUhuz5kkbsgTFTQlq8Fp4BDZ9SH5jZ13mfreAs="/>
    </ext>
  </extLst>
</workbook>
</file>

<file path=xl/calcChain.xml><?xml version="1.0" encoding="utf-8"?>
<calcChain xmlns="http://schemas.openxmlformats.org/spreadsheetml/2006/main">
  <c r="B11" i="1" l="1"/>
  <c r="B24" i="1" s="1"/>
  <c r="J32" i="1"/>
  <c r="K32" i="1" s="1"/>
  <c r="H32" i="1"/>
  <c r="I32" i="1" s="1"/>
  <c r="F32" i="1"/>
  <c r="G32" i="1" s="1"/>
  <c r="E32" i="1"/>
  <c r="B32" i="1"/>
  <c r="K31" i="1"/>
  <c r="J31" i="1"/>
  <c r="H31" i="1"/>
  <c r="I31" i="1" s="1"/>
  <c r="F31" i="1"/>
  <c r="G31" i="1" s="1"/>
  <c r="E31" i="1"/>
  <c r="B31" i="1"/>
  <c r="J30" i="1"/>
  <c r="K30" i="1" s="1"/>
  <c r="H30" i="1"/>
  <c r="I30" i="1" s="1"/>
  <c r="G30" i="1"/>
  <c r="E30" i="1"/>
  <c r="B30" i="1"/>
  <c r="J29" i="1"/>
  <c r="K29" i="1" s="1"/>
  <c r="H29" i="1"/>
  <c r="I29" i="1" s="1"/>
  <c r="F29" i="1"/>
  <c r="G29" i="1" s="1"/>
  <c r="E29" i="1"/>
  <c r="B29" i="1"/>
  <c r="J28" i="1"/>
  <c r="K28" i="1" s="1"/>
  <c r="H28" i="1"/>
  <c r="I28" i="1" s="1"/>
  <c r="G28" i="1"/>
  <c r="E28" i="1"/>
  <c r="B28" i="1"/>
  <c r="K27" i="1"/>
  <c r="J27" i="1"/>
  <c r="H27" i="1"/>
  <c r="I27" i="1" s="1"/>
  <c r="F27" i="1"/>
  <c r="G27" i="1" s="1"/>
  <c r="E27" i="1"/>
  <c r="B27" i="1"/>
  <c r="J26" i="1"/>
  <c r="K26" i="1" s="1"/>
  <c r="H26" i="1"/>
  <c r="I26" i="1" s="1"/>
  <c r="F26" i="1"/>
  <c r="G26" i="1" s="1"/>
  <c r="G33" i="1" s="1"/>
  <c r="E26" i="1"/>
  <c r="E33" i="1" s="1"/>
  <c r="B26" i="1"/>
  <c r="J19" i="1"/>
  <c r="K19" i="1" s="1"/>
  <c r="H19" i="1"/>
  <c r="I19" i="1" s="1"/>
  <c r="G19" i="1"/>
  <c r="E19" i="1"/>
  <c r="B19" i="1"/>
  <c r="J18" i="1"/>
  <c r="K18" i="1" s="1"/>
  <c r="H18" i="1"/>
  <c r="I18" i="1" s="1"/>
  <c r="G18" i="1"/>
  <c r="E18" i="1"/>
  <c r="B18" i="1"/>
  <c r="K17" i="1"/>
  <c r="J17" i="1"/>
  <c r="H17" i="1"/>
  <c r="I17" i="1" s="1"/>
  <c r="G17" i="1"/>
  <c r="E17" i="1"/>
  <c r="B17" i="1"/>
  <c r="J16" i="1"/>
  <c r="K16" i="1" s="1"/>
  <c r="H16" i="1"/>
  <c r="I16" i="1" s="1"/>
  <c r="G16" i="1"/>
  <c r="E16" i="1"/>
  <c r="B16" i="1"/>
  <c r="J15" i="1"/>
  <c r="K15" i="1" s="1"/>
  <c r="H15" i="1"/>
  <c r="I15" i="1" s="1"/>
  <c r="G15" i="1"/>
  <c r="E15" i="1"/>
  <c r="B15" i="1"/>
  <c r="J14" i="1"/>
  <c r="K14" i="1" s="1"/>
  <c r="I14" i="1"/>
  <c r="H14" i="1"/>
  <c r="G14" i="1"/>
  <c r="E14" i="1"/>
  <c r="B14" i="1"/>
  <c r="J13" i="1"/>
  <c r="K13" i="1" s="1"/>
  <c r="K20" i="1" s="1"/>
  <c r="H13" i="1"/>
  <c r="I13" i="1" s="1"/>
  <c r="I20" i="1" s="1"/>
  <c r="G13" i="1"/>
  <c r="G20" i="1" s="1"/>
  <c r="E13" i="1"/>
  <c r="E20" i="1" s="1"/>
  <c r="C20" i="1" s="1"/>
  <c r="C21" i="1" s="1"/>
  <c r="C4" i="1" s="1"/>
  <c r="B13" i="1"/>
  <c r="E4" i="1"/>
  <c r="K33" i="1" l="1"/>
  <c r="I33" i="1"/>
  <c r="C33" i="1"/>
  <c r="C34" i="1" s="1"/>
  <c r="D4" i="1" s="1"/>
</calcChain>
</file>

<file path=xl/sharedStrings.xml><?xml version="1.0" encoding="utf-8"?>
<sst xmlns="http://schemas.openxmlformats.org/spreadsheetml/2006/main" count="136" uniqueCount="91">
  <si>
    <t>G8</t>
  </si>
  <si>
    <t>INTEGRANTES</t>
  </si>
  <si>
    <t>Nota docente asignatura</t>
  </si>
  <si>
    <t>Nota comision</t>
  </si>
  <si>
    <t>Nota final</t>
  </si>
  <si>
    <t>Amir Awad</t>
  </si>
  <si>
    <t>CHRISTIAN LAZCANO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</si>
  <si>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</si>
  <si>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</si>
  <si>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</si>
  <si>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</si>
  <si>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</si>
  <si>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</si>
  <si>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</si>
  <si>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X</t>
  </si>
  <si>
    <t>Puntaje</t>
  </si>
  <si>
    <t>Nota</t>
  </si>
  <si>
    <t>RICARDO ARAVENA</t>
  </si>
  <si>
    <t>Información del contexto de negocio y del mercado ok. Incoporar las fuentes de información con su link de cada fuente</t>
  </si>
  <si>
    <t>Dar fuerza a necesidad emergente. Poner vídeo testimonio o planteamiento de la problemática de parte del cliente</t>
  </si>
  <si>
    <t>Aporte  métricas de la problemática - Pero deben indicar cómo las comprobarán al resolverlas</t>
  </si>
  <si>
    <t>Sugiero Cuadro de métricas claves a resolver. Mejorar accesibilidad a productos, optimizar el proceso de la compra, toma de mejores decisiones</t>
  </si>
  <si>
    <t>Modelo Canvas -ok</t>
  </si>
  <si>
    <t>Buenos objetivos- Cumple</t>
  </si>
  <si>
    <t>Objetivos específicos</t>
  </si>
  <si>
    <t>Alcances- Buena lista de alcances</t>
  </si>
  <si>
    <t>Metodología del desarrollo -ok</t>
  </si>
  <si>
    <t>ORGANIGRAMA-ok</t>
  </si>
  <si>
    <t>Modelo por Capas -Mejorar modelo por capas o integración de tecnologías no se ve el contraste</t>
  </si>
  <si>
    <t>Modelamiento UML -ok</t>
  </si>
  <si>
    <t>Vistas de usuarios-ok</t>
  </si>
  <si>
    <t>PRUEBAS - Señalar las técnicas de pruebas utilizadas</t>
  </si>
  <si>
    <t>Tecnologías del desarrollo y estándars-ok</t>
  </si>
  <si>
    <t>PLANIFICACION -OK -RACI -Roadmap</t>
  </si>
  <si>
    <t>Planificación - ok</t>
  </si>
  <si>
    <t>Control de versiones y control de tareas - ok</t>
  </si>
  <si>
    <t>Factibilidad técnica y operacional ok</t>
  </si>
  <si>
    <t>Factibilidad económica débil- Deben aportar la figura de negocio para sustentarla en el tiempo</t>
  </si>
  <si>
    <t>Factibilidad legal -ok</t>
  </si>
  <si>
    <t>Buenos aspecto de los beneficios que trae generar publicaciones</t>
  </si>
  <si>
    <t>Omiten información sobre como sustentar la aplicación-Modelo de negocio</t>
  </si>
  <si>
    <t>Restrospectiva- Aportar conceptos claves  y ser más concretos y claros.</t>
  </si>
  <si>
    <t>Demostración-. Funcionalidades claves cubiertas- Vista admin ok -Felicitaciones por su avance y mejoras-Reportes ok muy bien</t>
  </si>
  <si>
    <t>REVISAR VIDEO DEMOSTRACION SE ALARGO PRESENTACION</t>
  </si>
  <si>
    <t>6+</t>
  </si>
  <si>
    <t>Indicador de Evaluación</t>
  </si>
  <si>
    <t>Categorías de Respuesta</t>
  </si>
  <si>
    <t>Ponderación del Indicador de Evaluación</t>
  </si>
  <si>
    <r>
      <rPr>
        <b/>
        <sz val="11"/>
        <color rgb="FFFFFFFF"/>
        <rFont val="Calibri"/>
      </rPr>
      <t>Completamente Logrado (</t>
    </r>
    <r>
      <rPr>
        <b/>
        <sz val="10"/>
        <color rgb="FFFFFFFF"/>
        <rFont val="Calibri"/>
      </rPr>
      <t>100%)</t>
    </r>
  </si>
  <si>
    <r>
      <rPr>
        <b/>
        <sz val="11"/>
        <color rgb="FFFFFFFF"/>
        <rFont val="Calibri"/>
      </rPr>
      <t>Logrado (</t>
    </r>
    <r>
      <rPr>
        <b/>
        <sz val="10"/>
        <color rgb="FFFFFFFF"/>
        <rFont val="Calibri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</si>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</sst>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6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sz val="11"/>
      <color rgb="FFFF0000"/>
      <name val="Calibri"/>
    </font>
    <font>
      <sz val="11"/>
      <color theme="1"/>
      <name val="Calibri"/>
    </font>
    <font>
      <sz val="11"/>
      <color rgb="FFAEABAB"/>
      <name val="Calibri"/>
    </font>
    <font>
      <sz val="11"/>
      <color rgb="FFBFBFBF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0"/>
      <color rgb="FF3B3838"/>
      <name val="Calibri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9" fontId="2" fillId="2" borderId="1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right" vertical="center" wrapText="1"/>
    </xf>
    <xf numFmtId="0" fontId="9" fillId="0" borderId="2" xfId="0" applyFont="1" applyBorder="1"/>
    <xf numFmtId="0" fontId="2" fillId="6" borderId="1" xfId="0" applyFont="1" applyFill="1" applyBorder="1"/>
    <xf numFmtId="0" fontId="7" fillId="0" borderId="3" xfId="0" applyFont="1" applyBorder="1" applyAlignment="1">
      <alignment horizontal="right" vertical="center" wrapText="1"/>
    </xf>
    <xf numFmtId="164" fontId="9" fillId="0" borderId="1" xfId="0" applyNumberFormat="1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/>
    </xf>
    <xf numFmtId="0" fontId="15" fillId="7" borderId="14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 wrapText="1"/>
    </xf>
    <xf numFmtId="9" fontId="14" fillId="7" borderId="14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7" fillId="0" borderId="0" xfId="0" applyFont="1"/>
    <xf numFmtId="164" fontId="2" fillId="0" borderId="0" xfId="0" applyNumberFormat="1" applyFont="1"/>
    <xf numFmtId="0" fontId="1" fillId="5" borderId="17" xfId="0" applyFont="1" applyFill="1" applyBorder="1" applyAlignment="1">
      <alignment vertical="center" wrapText="1"/>
    </xf>
    <xf numFmtId="0" fontId="1" fillId="5" borderId="18" xfId="0" applyFont="1" applyFill="1" applyBorder="1" applyAlignment="1">
      <alignment vertical="center" wrapText="1"/>
    </xf>
    <xf numFmtId="0" fontId="1" fillId="5" borderId="19" xfId="0" applyFont="1" applyFill="1" applyBorder="1" applyAlignment="1">
      <alignment vertical="center" wrapText="1"/>
    </xf>
    <xf numFmtId="0" fontId="1" fillId="5" borderId="21" xfId="0" applyFont="1" applyFill="1" applyBorder="1" applyAlignment="1">
      <alignment vertical="center" wrapText="1"/>
    </xf>
    <xf numFmtId="0" fontId="1" fillId="5" borderId="22" xfId="0" applyFont="1" applyFill="1" applyBorder="1" applyAlignment="1">
      <alignment vertical="center" wrapText="1"/>
    </xf>
    <xf numFmtId="0" fontId="1" fillId="5" borderId="23" xfId="0" applyFont="1" applyFill="1" applyBorder="1" applyAlignment="1">
      <alignment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textRotation="255" wrapText="1"/>
    </xf>
    <xf numFmtId="0" fontId="6" fillId="0" borderId="6" xfId="0" applyFont="1" applyBorder="1"/>
    <xf numFmtId="0" fontId="6" fillId="0" borderId="8" xfId="0" applyFont="1" applyBorder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14" fillId="7" borderId="9" xfId="0" applyFont="1" applyFill="1" applyBorder="1" applyAlignment="1">
      <alignment horizontal="center" vertical="center" wrapText="1"/>
    </xf>
    <xf numFmtId="0" fontId="6" fillId="0" borderId="13" xfId="0" applyFont="1" applyBorder="1"/>
    <xf numFmtId="0" fontId="6" fillId="0" borderId="15" xfId="0" applyFont="1" applyBorder="1"/>
    <xf numFmtId="0" fontId="14" fillId="7" borderId="10" xfId="0" applyFont="1" applyFill="1" applyBorder="1" applyAlignment="1">
      <alignment horizontal="center" vertical="center" wrapText="1"/>
    </xf>
    <xf numFmtId="0" fontId="6" fillId="0" borderId="11" xfId="0" applyFont="1" applyBorder="1"/>
    <xf numFmtId="0" fontId="6" fillId="0" borderId="12" xfId="0" applyFont="1" applyBorder="1"/>
    <xf numFmtId="0" fontId="15" fillId="7" borderId="9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left" vertical="center" wrapText="1"/>
    </xf>
    <xf numFmtId="0" fontId="6" fillId="0" borderId="20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952"/>
  <sheetViews>
    <sheetView tabSelected="1" topLeftCell="A26" workbookViewId="0">
      <selection activeCell="B12" sqref="B12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</cols>
  <sheetData>
    <row r="2" spans="1:11" x14ac:dyDescent="0.25">
      <c r="B2" s="1" t="s">
        <v>0</v>
      </c>
      <c r="C2" s="2">
        <v>0.7</v>
      </c>
      <c r="D2" s="3">
        <v>0.3</v>
      </c>
      <c r="E2" s="4">
        <v>1</v>
      </c>
    </row>
    <row r="3" spans="1:11" ht="30" x14ac:dyDescent="0.25">
      <c r="B3" s="1" t="s">
        <v>1</v>
      </c>
      <c r="C3" s="5" t="s">
        <v>2</v>
      </c>
      <c r="D3" s="6" t="s">
        <v>3</v>
      </c>
      <c r="E3" s="7" t="s">
        <v>4</v>
      </c>
    </row>
    <row r="4" spans="1:11" x14ac:dyDescent="0.25">
      <c r="A4" s="8">
        <v>1</v>
      </c>
      <c r="B4" s="9" t="s">
        <v>5</v>
      </c>
      <c r="C4" s="10">
        <f>C21</f>
        <v>6.1</v>
      </c>
      <c r="D4" s="11">
        <f>C34</f>
        <v>6.3</v>
      </c>
      <c r="E4" s="12">
        <f>C6*C$2+D6*D$2</f>
        <v>0</v>
      </c>
    </row>
    <row r="5" spans="1:11" x14ac:dyDescent="0.25">
      <c r="A5" s="8"/>
      <c r="B5" s="9"/>
      <c r="C5" s="10"/>
      <c r="D5" s="11"/>
      <c r="E5" s="12"/>
    </row>
    <row r="6" spans="1:11" x14ac:dyDescent="0.25">
      <c r="A6" s="8"/>
      <c r="B6" s="9"/>
      <c r="C6" s="10"/>
      <c r="D6" s="11"/>
      <c r="E6" s="12"/>
    </row>
    <row r="7" spans="1:11" ht="15" customHeight="1" x14ac:dyDescent="0.25">
      <c r="A7" s="8"/>
      <c r="B7" s="9"/>
    </row>
    <row r="8" spans="1:11" ht="15" customHeight="1" x14ac:dyDescent="0.25">
      <c r="A8" s="8"/>
      <c r="B8" s="9"/>
    </row>
    <row r="11" spans="1:11" ht="18.75" outlineLevel="1" x14ac:dyDescent="0.25">
      <c r="A11" s="43" t="s">
        <v>6</v>
      </c>
      <c r="B11" s="13" t="str">
        <f>B4</f>
        <v>Amir Awad</v>
      </c>
      <c r="C11" s="46" t="s">
        <v>7</v>
      </c>
      <c r="D11" s="47" t="s">
        <v>8</v>
      </c>
      <c r="E11" s="48"/>
      <c r="F11" s="48"/>
      <c r="G11" s="48"/>
      <c r="H11" s="48"/>
      <c r="I11" s="48"/>
      <c r="J11" s="48"/>
      <c r="K11" s="49"/>
    </row>
    <row r="12" spans="1:11" outlineLevel="1" x14ac:dyDescent="0.25">
      <c r="A12" s="44"/>
      <c r="B12" s="14" t="s">
        <v>9</v>
      </c>
      <c r="C12" s="45"/>
      <c r="D12" s="47" t="s">
        <v>10</v>
      </c>
      <c r="E12" s="49"/>
      <c r="F12" s="47" t="s">
        <v>11</v>
      </c>
      <c r="G12" s="49"/>
      <c r="H12" s="47" t="s">
        <v>12</v>
      </c>
      <c r="I12" s="49"/>
      <c r="J12" s="47" t="s">
        <v>13</v>
      </c>
      <c r="K12" s="49"/>
    </row>
    <row r="13" spans="1:11" ht="24" outlineLevel="1" x14ac:dyDescent="0.25">
      <c r="A13" s="44"/>
      <c r="B13" s="15" t="str">
        <f>RUBRICA!A4</f>
        <v xml:space="preserve">1. Presenta el proyecto considerando la relevancia, objetivos, metodología y desarrollo, de acuerdo a los estándares de calidad de la disciplina. </v>
      </c>
      <c r="C13" s="16" t="s">
        <v>10</v>
      </c>
      <c r="D13" s="17" t="s">
        <v>14</v>
      </c>
      <c r="E13" s="17">
        <f>IF(D13="X",100*0.15,"")</f>
        <v>15</v>
      </c>
      <c r="F13" s="17"/>
      <c r="G13" s="17" t="str">
        <f>IF(F13="X",60*0.15,"")</f>
        <v/>
      </c>
      <c r="H13" s="17" t="str">
        <f t="shared" ref="H13:H19" si="0">IF($C13=ML,"X","")</f>
        <v/>
      </c>
      <c r="I13" s="17" t="str">
        <f>IF(H13="X",30*0.15,"")</f>
        <v/>
      </c>
      <c r="J13" s="17" t="str">
        <f t="shared" ref="J13:J19" si="1">IF($C13=NL,"X","")</f>
        <v/>
      </c>
      <c r="K13" s="17" t="str">
        <f t="shared" ref="K13:K19" si="2">IF($J13="X",0,"")</f>
        <v/>
      </c>
    </row>
    <row r="14" spans="1:11" ht="26.25" customHeight="1" outlineLevel="1" x14ac:dyDescent="0.25">
      <c r="A14" s="44"/>
      <c r="B14" s="15" t="str">
        <f>RUBRICA!A5</f>
        <v xml:space="preserve">2. Presenta las evidencias del Proyecto APT, dando cuenta del cumplimiento de los objetivos y de acuerdo a los estándares de la disciplina. </v>
      </c>
      <c r="C14" s="16" t="s">
        <v>10</v>
      </c>
      <c r="D14" s="17"/>
      <c r="E14" s="17" t="str">
        <f>IF(D14="X",100*0.25,"")</f>
        <v/>
      </c>
      <c r="F14" s="17" t="s">
        <v>14</v>
      </c>
      <c r="G14" s="17">
        <f>IF(F14="X",60*0.25,"")</f>
        <v>15</v>
      </c>
      <c r="H14" s="17" t="str">
        <f t="shared" si="0"/>
        <v/>
      </c>
      <c r="I14" s="17" t="str">
        <f>IF(H14="X",30*0.25,"")</f>
        <v/>
      </c>
      <c r="J14" s="17" t="str">
        <f t="shared" si="1"/>
        <v/>
      </c>
      <c r="K14" s="17" t="str">
        <f t="shared" si="2"/>
        <v/>
      </c>
    </row>
    <row r="15" spans="1:11" ht="24" outlineLevel="1" x14ac:dyDescent="0.25">
      <c r="A15" s="44"/>
      <c r="B15" s="15" t="str">
        <f>RUBRICA!A6</f>
        <v>3. Responde las preguntas realizadas por la comisión, cumpliendo con los estándares de calidad de la disciplina.</v>
      </c>
      <c r="C15" s="16" t="s">
        <v>10</v>
      </c>
      <c r="D15" s="17" t="s">
        <v>14</v>
      </c>
      <c r="E15" s="17">
        <f>IF(D15="X",100*0.2,"")</f>
        <v>20</v>
      </c>
      <c r="F15" s="17"/>
      <c r="G15" s="17" t="str">
        <f>IF(F15="X",60*0.2,"")</f>
        <v/>
      </c>
      <c r="H15" s="17" t="str">
        <f t="shared" si="0"/>
        <v/>
      </c>
      <c r="I15" s="17" t="str">
        <f>IF(H15="X",30*0.2,"")</f>
        <v/>
      </c>
      <c r="J15" s="17" t="str">
        <f t="shared" si="1"/>
        <v/>
      </c>
      <c r="K15" s="17" t="str">
        <f t="shared" si="2"/>
        <v/>
      </c>
    </row>
    <row r="16" spans="1:11" ht="24" outlineLevel="1" x14ac:dyDescent="0.25">
      <c r="A16" s="44"/>
      <c r="B16" s="15" t="str">
        <f>RUBRICA!A7</f>
        <v>4. Expone el Proyecto APT, considerando el formato y el tiempo establecido para la presentación.</v>
      </c>
      <c r="C16" s="16" t="s">
        <v>10</v>
      </c>
      <c r="D16" s="17" t="s">
        <v>14</v>
      </c>
      <c r="E16" s="17">
        <f t="shared" ref="E16:E17" si="3">IF(D16="X",100*0.05,"")</f>
        <v>5</v>
      </c>
      <c r="F16" s="17"/>
      <c r="G16" s="17" t="str">
        <f t="shared" ref="G16:G17" si="4">IF(F16="X",60*0.05,"")</f>
        <v/>
      </c>
      <c r="H16" s="17" t="str">
        <f t="shared" si="0"/>
        <v/>
      </c>
      <c r="I16" s="17" t="str">
        <f t="shared" ref="I16:I17" si="5">IF(H16="X",30*0.05,"")</f>
        <v/>
      </c>
      <c r="J16" s="17" t="str">
        <f t="shared" si="1"/>
        <v/>
      </c>
      <c r="K16" s="17" t="str">
        <f t="shared" si="2"/>
        <v/>
      </c>
    </row>
    <row r="17" spans="1:11" ht="24" outlineLevel="1" x14ac:dyDescent="0.25">
      <c r="A17" s="44"/>
      <c r="B17" s="15" t="str">
        <f>RUBRICA!A8</f>
        <v>5. Expresa sus ideas con fluidez, claridad y precisión, utilizando lenguaje técnico propio de la disciplina.</v>
      </c>
      <c r="C17" s="16" t="s">
        <v>10</v>
      </c>
      <c r="D17" s="17"/>
      <c r="E17" s="17" t="str">
        <f t="shared" si="3"/>
        <v/>
      </c>
      <c r="F17" s="17" t="s">
        <v>14</v>
      </c>
      <c r="G17" s="17">
        <f t="shared" si="4"/>
        <v>3</v>
      </c>
      <c r="H17" s="17" t="str">
        <f t="shared" si="0"/>
        <v/>
      </c>
      <c r="I17" s="17" t="str">
        <f t="shared" si="5"/>
        <v/>
      </c>
      <c r="J17" s="17" t="str">
        <f t="shared" si="1"/>
        <v/>
      </c>
      <c r="K17" s="17" t="str">
        <f t="shared" si="2"/>
        <v/>
      </c>
    </row>
    <row r="18" spans="1:11" ht="36" outlineLevel="1" x14ac:dyDescent="0.25">
      <c r="A18" s="44"/>
      <c r="B18" s="15" t="str">
        <f>RUBRICA!A9</f>
        <v>6. Entrega la documentación y evidencias requerida por la asignatura de acuerdo a la estructura y nombres solicitados, guardando todas las evidencias de avances en Git</v>
      </c>
      <c r="C18" s="16" t="s">
        <v>10</v>
      </c>
      <c r="D18" s="17" t="s">
        <v>14</v>
      </c>
      <c r="E18" s="17">
        <f>IF(D18="X",100*0.2,"")</f>
        <v>20</v>
      </c>
      <c r="F18" s="17"/>
      <c r="G18" s="17" t="str">
        <f>IF(F18="X",60*0.2,"")</f>
        <v/>
      </c>
      <c r="H18" s="17" t="str">
        <f t="shared" si="0"/>
        <v/>
      </c>
      <c r="I18" s="17" t="str">
        <f>IF(H18="X",30*0.2,"")</f>
        <v/>
      </c>
      <c r="J18" s="17" t="str">
        <f t="shared" si="1"/>
        <v/>
      </c>
      <c r="K18" s="17" t="str">
        <f t="shared" si="2"/>
        <v/>
      </c>
    </row>
    <row r="19" spans="1:11" ht="24" outlineLevel="1" x14ac:dyDescent="0.25">
      <c r="A19" s="44"/>
      <c r="B19" s="15" t="str">
        <f>RUBRICA!A10</f>
        <v xml:space="preserve">7. Expone el tema utilizando un lenguaje técnico disciplinar al presentar la propuesta y responde evidenciando un manejo de la información. </v>
      </c>
      <c r="C19" s="16" t="s">
        <v>10</v>
      </c>
      <c r="D19" s="17" t="s">
        <v>14</v>
      </c>
      <c r="E19" s="17">
        <f>IF(D19="X",100*0.1,"")</f>
        <v>10</v>
      </c>
      <c r="F19" s="17"/>
      <c r="G19" s="17" t="str">
        <f>IF(F19="X",60*0.1,"")</f>
        <v/>
      </c>
      <c r="H19" s="17" t="str">
        <f t="shared" si="0"/>
        <v/>
      </c>
      <c r="I19" s="17" t="str">
        <f>IF(H19="X",30*0.1,"")</f>
        <v/>
      </c>
      <c r="J19" s="17" t="str">
        <f t="shared" si="1"/>
        <v/>
      </c>
      <c r="K19" s="17" t="str">
        <f t="shared" si="2"/>
        <v/>
      </c>
    </row>
    <row r="20" spans="1:11" ht="15.75" customHeight="1" outlineLevel="1" x14ac:dyDescent="0.3">
      <c r="A20" s="44"/>
      <c r="B20" s="18" t="s">
        <v>15</v>
      </c>
      <c r="C20" s="19">
        <f>E20+G20+I20+K20</f>
        <v>88</v>
      </c>
      <c r="D20" s="20"/>
      <c r="E20" s="20">
        <f>SUM(E13:E19)</f>
        <v>70</v>
      </c>
      <c r="F20" s="20"/>
      <c r="G20" s="20">
        <f>SUM(G13:G19)</f>
        <v>18</v>
      </c>
      <c r="H20" s="20"/>
      <c r="I20" s="20">
        <f>SUM(I13:I19)</f>
        <v>0</v>
      </c>
      <c r="J20" s="20"/>
      <c r="K20" s="20">
        <f>SUM(K13:K19)</f>
        <v>0</v>
      </c>
    </row>
    <row r="21" spans="1:11" ht="15.75" customHeight="1" outlineLevel="1" x14ac:dyDescent="0.3">
      <c r="A21" s="45"/>
      <c r="B21" s="21" t="s">
        <v>16</v>
      </c>
      <c r="C21" s="22">
        <f>VLOOKUP(C20,ESCALA_IEP!A28:B228,2,FALSE)</f>
        <v>6.1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3" t="s">
        <v>17</v>
      </c>
      <c r="B24" s="13" t="str">
        <f>B11</f>
        <v>Amir Awad</v>
      </c>
      <c r="C24" s="46" t="s">
        <v>7</v>
      </c>
      <c r="D24" s="47" t="s">
        <v>8</v>
      </c>
      <c r="E24" s="48"/>
      <c r="F24" s="48"/>
      <c r="G24" s="48"/>
      <c r="H24" s="48"/>
      <c r="I24" s="48"/>
      <c r="J24" s="48"/>
      <c r="K24" s="49"/>
    </row>
    <row r="25" spans="1:11" ht="24" customHeight="1" x14ac:dyDescent="0.25">
      <c r="A25" s="44"/>
      <c r="B25" s="14" t="s">
        <v>9</v>
      </c>
      <c r="C25" s="45"/>
      <c r="D25" s="47" t="s">
        <v>10</v>
      </c>
      <c r="E25" s="49"/>
      <c r="F25" s="47" t="s">
        <v>11</v>
      </c>
      <c r="G25" s="49"/>
      <c r="H25" s="47" t="s">
        <v>12</v>
      </c>
      <c r="I25" s="49"/>
      <c r="J25" s="47" t="s">
        <v>13</v>
      </c>
      <c r="K25" s="49"/>
    </row>
    <row r="26" spans="1:11" ht="24" customHeight="1" x14ac:dyDescent="0.25">
      <c r="A26" s="44"/>
      <c r="B26" s="15" t="str">
        <f>RUBRICA!A4</f>
        <v xml:space="preserve">1. Presenta el proyecto considerando la relevancia, objetivos, metodología y desarrollo, de acuerdo a los estándares de calidad de la disciplina. </v>
      </c>
      <c r="C26" s="16" t="s">
        <v>10</v>
      </c>
      <c r="D26" s="17" t="s">
        <v>14</v>
      </c>
      <c r="E26" s="17">
        <f>IF(D26="X",100*0.15,"")</f>
        <v>15</v>
      </c>
      <c r="F26" s="17" t="str">
        <f>IF($C26=L,"X","")</f>
        <v/>
      </c>
      <c r="G26" s="17" t="str">
        <f>IF(F26="X",60*0.15,"")</f>
        <v/>
      </c>
      <c r="H26" s="17" t="str">
        <f t="shared" ref="H26:H32" si="6">IF($C26=ML,"X","")</f>
        <v/>
      </c>
      <c r="I26" s="17" t="str">
        <f>IF(H26="X",30*0.15,"")</f>
        <v/>
      </c>
      <c r="J26" s="17" t="str">
        <f t="shared" ref="J26:J32" si="7">IF($C26=NL,"X","")</f>
        <v/>
      </c>
      <c r="K26" s="17" t="str">
        <f t="shared" ref="K26:K32" si="8">IF($J26="X",0,"")</f>
        <v/>
      </c>
    </row>
    <row r="27" spans="1:11" ht="24" customHeight="1" x14ac:dyDescent="0.25">
      <c r="A27" s="44"/>
      <c r="B27" s="15" t="str">
        <f>RUBRICA!A5</f>
        <v xml:space="preserve">2. Presenta las evidencias del Proyecto APT, dando cuenta del cumplimiento de los objetivos y de acuerdo a los estándares de la disciplina. </v>
      </c>
      <c r="C27" s="16" t="s">
        <v>10</v>
      </c>
      <c r="D27" s="17" t="s">
        <v>14</v>
      </c>
      <c r="E27" s="17">
        <f>IF(D27="X",100*0.25,"")</f>
        <v>25</v>
      </c>
      <c r="F27" s="17" t="str">
        <f>IF($C27=L,"X","")</f>
        <v/>
      </c>
      <c r="G27" s="17" t="str">
        <f>IF(F27="X",60*0.25,"")</f>
        <v/>
      </c>
      <c r="H27" s="17" t="str">
        <f t="shared" si="6"/>
        <v/>
      </c>
      <c r="I27" s="17" t="str">
        <f>IF(H27="X",30*0.25,"")</f>
        <v/>
      </c>
      <c r="J27" s="17" t="str">
        <f t="shared" si="7"/>
        <v/>
      </c>
      <c r="K27" s="17" t="str">
        <f t="shared" si="8"/>
        <v/>
      </c>
    </row>
    <row r="28" spans="1:11" ht="24" customHeight="1" x14ac:dyDescent="0.25">
      <c r="A28" s="44"/>
      <c r="B28" s="15" t="str">
        <f>RUBRICA!A6</f>
        <v>3. Responde las preguntas realizadas por la comisión, cumpliendo con los estándares de calidad de la disciplina.</v>
      </c>
      <c r="C28" s="16" t="s">
        <v>10</v>
      </c>
      <c r="D28" s="17"/>
      <c r="E28" s="17" t="str">
        <f>IF(D28="X",100*0.2,"")</f>
        <v/>
      </c>
      <c r="F28" s="17" t="s">
        <v>14</v>
      </c>
      <c r="G28" s="17">
        <f>IF(F28="X",60*0.2,"")</f>
        <v>12</v>
      </c>
      <c r="H28" s="17" t="str">
        <f t="shared" si="6"/>
        <v/>
      </c>
      <c r="I28" s="17" t="str">
        <f>IF(H28="X",30*0.2,"")</f>
        <v/>
      </c>
      <c r="J28" s="17" t="str">
        <f t="shared" si="7"/>
        <v/>
      </c>
      <c r="K28" s="17" t="str">
        <f t="shared" si="8"/>
        <v/>
      </c>
    </row>
    <row r="29" spans="1:11" ht="24" customHeight="1" x14ac:dyDescent="0.25">
      <c r="A29" s="44"/>
      <c r="B29" s="15" t="str">
        <f>RUBRICA!A7</f>
        <v>4. Expone el Proyecto APT, considerando el formato y el tiempo establecido para la presentación.</v>
      </c>
      <c r="C29" s="16" t="s">
        <v>10</v>
      </c>
      <c r="D29" s="17" t="s">
        <v>14</v>
      </c>
      <c r="E29" s="17">
        <f t="shared" ref="E29:E30" si="9">IF(D29="X",100*0.05,"")</f>
        <v>5</v>
      </c>
      <c r="F29" s="17" t="str">
        <f>IF($C29=L,"X","")</f>
        <v/>
      </c>
      <c r="G29" s="17" t="str">
        <f t="shared" ref="G29:G30" si="10">IF(F29="X",60*0.05,"")</f>
        <v/>
      </c>
      <c r="H29" s="17" t="str">
        <f t="shared" si="6"/>
        <v/>
      </c>
      <c r="I29" s="17" t="str">
        <f t="shared" ref="I29:I30" si="11">IF(H29="X",30*0.05,"")</f>
        <v/>
      </c>
      <c r="J29" s="17" t="str">
        <f t="shared" si="7"/>
        <v/>
      </c>
      <c r="K29" s="17" t="str">
        <f t="shared" si="8"/>
        <v/>
      </c>
    </row>
    <row r="30" spans="1:11" ht="24" customHeight="1" x14ac:dyDescent="0.25">
      <c r="A30" s="44"/>
      <c r="B30" s="15" t="str">
        <f>RUBRICA!A8</f>
        <v>5. Expresa sus ideas con fluidez, claridad y precisión, utilizando lenguaje técnico propio de la disciplina.</v>
      </c>
      <c r="C30" s="16" t="s">
        <v>10</v>
      </c>
      <c r="D30" s="17"/>
      <c r="E30" s="17" t="str">
        <f t="shared" si="9"/>
        <v/>
      </c>
      <c r="F30" s="17" t="s">
        <v>14</v>
      </c>
      <c r="G30" s="17">
        <f t="shared" si="10"/>
        <v>3</v>
      </c>
      <c r="H30" s="17" t="str">
        <f t="shared" si="6"/>
        <v/>
      </c>
      <c r="I30" s="17" t="str">
        <f t="shared" si="11"/>
        <v/>
      </c>
      <c r="J30" s="17" t="str">
        <f t="shared" si="7"/>
        <v/>
      </c>
      <c r="K30" s="17" t="str">
        <f t="shared" si="8"/>
        <v/>
      </c>
    </row>
    <row r="31" spans="1:11" ht="24" customHeight="1" x14ac:dyDescent="0.25">
      <c r="A31" s="44"/>
      <c r="B31" s="15" t="str">
        <f>RUBRICA!A9</f>
        <v>6. Entrega la documentación y evidencias requerida por la asignatura de acuerdo a la estructura y nombres solicitados, guardando todas las evidencias de avances en Git</v>
      </c>
      <c r="C31" s="16" t="s">
        <v>10</v>
      </c>
      <c r="D31" s="17" t="s">
        <v>14</v>
      </c>
      <c r="E31" s="17">
        <f>IF(D31="X",100*0.2,"")</f>
        <v>20</v>
      </c>
      <c r="F31" s="17" t="str">
        <f>IF($C31=L,"X","")</f>
        <v/>
      </c>
      <c r="G31" s="17" t="str">
        <f>IF(F31="X",60*0.2,"")</f>
        <v/>
      </c>
      <c r="H31" s="17" t="str">
        <f t="shared" si="6"/>
        <v/>
      </c>
      <c r="I31" s="17" t="str">
        <f>IF(H31="X",30*0.2,"")</f>
        <v/>
      </c>
      <c r="J31" s="17" t="str">
        <f t="shared" si="7"/>
        <v/>
      </c>
      <c r="K31" s="17" t="str">
        <f t="shared" si="8"/>
        <v/>
      </c>
    </row>
    <row r="32" spans="1:11" ht="24" customHeight="1" x14ac:dyDescent="0.25">
      <c r="A32" s="44"/>
      <c r="B32" s="15" t="str">
        <f>RUBRICA!A10</f>
        <v xml:space="preserve">7. Expone el tema utilizando un lenguaje técnico disciplinar al presentar la propuesta y responde evidenciando un manejo de la información. </v>
      </c>
      <c r="C32" s="16" t="s">
        <v>10</v>
      </c>
      <c r="D32" s="17" t="s">
        <v>14</v>
      </c>
      <c r="E32" s="17">
        <f>IF(D32="X",100*0.1,"")</f>
        <v>10</v>
      </c>
      <c r="F32" s="17" t="str">
        <f>IF($C32=L,"X","")</f>
        <v/>
      </c>
      <c r="G32" s="17" t="str">
        <f>IF(F32="X",60*0.1,"")</f>
        <v/>
      </c>
      <c r="H32" s="17" t="str">
        <f t="shared" si="6"/>
        <v/>
      </c>
      <c r="I32" s="17" t="str">
        <f>IF(H32="X",30*0.1,"")</f>
        <v/>
      </c>
      <c r="J32" s="17" t="str">
        <f t="shared" si="7"/>
        <v/>
      </c>
      <c r="K32" s="17" t="str">
        <f t="shared" si="8"/>
        <v/>
      </c>
    </row>
    <row r="33" spans="1:11" ht="24" customHeight="1" x14ac:dyDescent="0.3">
      <c r="A33" s="44"/>
      <c r="B33" s="18" t="s">
        <v>15</v>
      </c>
      <c r="C33" s="19">
        <f>E33+G33+I33+K33</f>
        <v>90</v>
      </c>
      <c r="D33" s="20"/>
      <c r="E33" s="20">
        <f>SUM(E26:E32)</f>
        <v>75</v>
      </c>
      <c r="F33" s="20"/>
      <c r="G33" s="20">
        <f>SUM(G26:G32)</f>
        <v>15</v>
      </c>
      <c r="H33" s="20"/>
      <c r="I33" s="20">
        <f>SUM(I26:I32)</f>
        <v>0</v>
      </c>
      <c r="J33" s="20"/>
      <c r="K33" s="20">
        <f>SUM(K26:K32)</f>
        <v>0</v>
      </c>
    </row>
    <row r="34" spans="1:11" ht="24" customHeight="1" x14ac:dyDescent="0.3">
      <c r="A34" s="45"/>
      <c r="B34" s="21" t="s">
        <v>16</v>
      </c>
      <c r="C34" s="22">
        <f>VLOOKUP(C33,ESCALA_IEP!A67:B267,2,FALSE)</f>
        <v>6.3</v>
      </c>
    </row>
    <row r="35" spans="1:11" ht="15.75" customHeight="1" x14ac:dyDescent="0.25"/>
    <row r="36" spans="1:11" ht="13.5" customHeight="1" x14ac:dyDescent="0.25">
      <c r="B36" s="9" t="s">
        <v>18</v>
      </c>
    </row>
    <row r="37" spans="1:11" ht="24" customHeight="1" x14ac:dyDescent="0.25">
      <c r="B37" s="9" t="s">
        <v>19</v>
      </c>
    </row>
    <row r="38" spans="1:11" ht="24" customHeight="1" x14ac:dyDescent="0.25">
      <c r="B38" s="23" t="s">
        <v>20</v>
      </c>
    </row>
    <row r="39" spans="1:11" ht="24" customHeight="1" x14ac:dyDescent="0.25">
      <c r="B39" s="24" t="s">
        <v>21</v>
      </c>
    </row>
    <row r="40" spans="1:11" ht="24" customHeight="1" x14ac:dyDescent="0.25">
      <c r="B40" s="24" t="s">
        <v>22</v>
      </c>
    </row>
    <row r="41" spans="1:11" ht="24" customHeight="1" x14ac:dyDescent="0.25">
      <c r="B41" s="9" t="s">
        <v>23</v>
      </c>
    </row>
    <row r="42" spans="1:11" ht="24" customHeight="1" x14ac:dyDescent="0.25">
      <c r="B42" s="9" t="s">
        <v>24</v>
      </c>
    </row>
    <row r="43" spans="1:11" ht="24" customHeight="1" x14ac:dyDescent="0.25">
      <c r="B43" s="9" t="s">
        <v>25</v>
      </c>
    </row>
    <row r="44" spans="1:11" ht="24" customHeight="1" x14ac:dyDescent="0.25">
      <c r="B44" s="9" t="s">
        <v>26</v>
      </c>
    </row>
    <row r="45" spans="1:11" ht="24" customHeight="1" x14ac:dyDescent="0.25">
      <c r="B45" s="9" t="s">
        <v>27</v>
      </c>
    </row>
    <row r="46" spans="1:11" ht="24" customHeight="1" x14ac:dyDescent="0.25">
      <c r="B46" s="23" t="s">
        <v>28</v>
      </c>
    </row>
    <row r="47" spans="1:11" ht="24" customHeight="1" x14ac:dyDescent="0.25">
      <c r="B47" s="24" t="s">
        <v>29</v>
      </c>
    </row>
    <row r="48" spans="1:11" ht="15.75" customHeight="1" x14ac:dyDescent="0.25">
      <c r="B48" s="9" t="s">
        <v>30</v>
      </c>
    </row>
    <row r="49" spans="2:2" ht="15.75" customHeight="1" x14ac:dyDescent="0.25">
      <c r="B49" s="24" t="s">
        <v>31</v>
      </c>
    </row>
    <row r="50" spans="2:2" ht="15.75" customHeight="1" x14ac:dyDescent="0.25">
      <c r="B50" s="9" t="s">
        <v>32</v>
      </c>
    </row>
    <row r="51" spans="2:2" ht="15.75" customHeight="1" x14ac:dyDescent="0.25">
      <c r="B51" s="9" t="s">
        <v>33</v>
      </c>
    </row>
    <row r="52" spans="2:2" ht="15.75" customHeight="1" x14ac:dyDescent="0.25">
      <c r="B52" s="9" t="s">
        <v>34</v>
      </c>
    </row>
    <row r="53" spans="2:2" ht="15.75" customHeight="1" x14ac:dyDescent="0.25">
      <c r="B53" s="9" t="s">
        <v>35</v>
      </c>
    </row>
    <row r="54" spans="2:2" ht="24" customHeight="1" x14ac:dyDescent="0.25">
      <c r="B54" s="24" t="s">
        <v>36</v>
      </c>
    </row>
    <row r="55" spans="2:2" ht="24" customHeight="1" x14ac:dyDescent="0.25">
      <c r="B55" s="23" t="s">
        <v>37</v>
      </c>
    </row>
    <row r="56" spans="2:2" ht="24" customHeight="1" x14ac:dyDescent="0.25">
      <c r="B56" s="24" t="s">
        <v>38</v>
      </c>
    </row>
    <row r="57" spans="2:2" ht="24" customHeight="1" x14ac:dyDescent="0.25">
      <c r="B57" s="23" t="s">
        <v>39</v>
      </c>
    </row>
    <row r="58" spans="2:2" ht="24" customHeight="1" x14ac:dyDescent="0.25">
      <c r="B58" s="23" t="s">
        <v>40</v>
      </c>
    </row>
    <row r="59" spans="2:2" ht="24" customHeight="1" x14ac:dyDescent="0.25">
      <c r="B59" s="9" t="s">
        <v>41</v>
      </c>
    </row>
    <row r="60" spans="2:2" ht="24" customHeight="1" x14ac:dyDescent="0.25">
      <c r="B60" s="9" t="s">
        <v>42</v>
      </c>
    </row>
    <row r="61" spans="2:2" ht="24" customHeight="1" x14ac:dyDescent="0.25">
      <c r="B61" s="23" t="s">
        <v>43</v>
      </c>
    </row>
    <row r="62" spans="2:2" ht="24" customHeight="1" x14ac:dyDescent="0.25"/>
    <row r="63" spans="2:2" ht="24" customHeight="1" x14ac:dyDescent="0.25"/>
    <row r="64" spans="2:2" ht="24" customHeight="1" x14ac:dyDescent="0.25"/>
    <row r="65" spans="2:2" ht="15.75" customHeight="1" x14ac:dyDescent="0.25"/>
    <row r="66" spans="2:2" ht="15.75" customHeight="1" x14ac:dyDescent="0.25"/>
    <row r="67" spans="2:2" ht="15.75" customHeight="1" x14ac:dyDescent="0.25"/>
    <row r="68" spans="2:2" ht="15.75" customHeight="1" x14ac:dyDescent="0.25">
      <c r="B68" s="25" t="s">
        <v>44</v>
      </c>
    </row>
    <row r="69" spans="2:2" ht="15.75" customHeight="1" x14ac:dyDescent="0.25"/>
    <row r="70" spans="2:2" ht="15.75" customHeight="1" x14ac:dyDescent="0.25"/>
    <row r="71" spans="2:2" ht="15.75" customHeight="1" x14ac:dyDescent="0.25">
      <c r="B71" s="26"/>
    </row>
    <row r="72" spans="2:2" ht="15.75" customHeight="1" x14ac:dyDescent="0.25"/>
    <row r="73" spans="2:2" ht="15.75" customHeight="1" x14ac:dyDescent="0.25"/>
    <row r="74" spans="2:2" ht="15.75" customHeight="1" x14ac:dyDescent="0.25"/>
    <row r="75" spans="2:2" ht="15.75" customHeight="1" x14ac:dyDescent="0.25"/>
    <row r="76" spans="2:2" ht="15.75" customHeight="1" x14ac:dyDescent="0.25"/>
    <row r="77" spans="2:2" ht="15.75" customHeight="1" x14ac:dyDescent="0.25"/>
    <row r="78" spans="2:2" ht="15.75" customHeight="1" x14ac:dyDescent="0.25"/>
    <row r="79" spans="2:2" ht="15.75" customHeight="1" x14ac:dyDescent="0.25"/>
    <row r="80" spans="2: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</sheetData>
  <mergeCells count="14">
    <mergeCell ref="A11:A21"/>
    <mergeCell ref="C11:C12"/>
    <mergeCell ref="A24:A34"/>
    <mergeCell ref="C24:C25"/>
    <mergeCell ref="D11:K11"/>
    <mergeCell ref="D12:E12"/>
    <mergeCell ref="F12:G12"/>
    <mergeCell ref="H12:I12"/>
    <mergeCell ref="J12:K12"/>
    <mergeCell ref="J25:K25"/>
    <mergeCell ref="H25:I25"/>
    <mergeCell ref="F25:G25"/>
    <mergeCell ref="D25:E25"/>
    <mergeCell ref="D24:K24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0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1000000}">
          <x14:formula1>
            <xm:f>'RELEVANCIA-PUNTAJE'!$B$2:$E$2</xm:f>
          </x14:formula1>
          <xm:sqref>C13:C19 C26:C32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baseColWidth="10" defaultColWidth="14.42578125" defaultRowHeight="15" customHeight="1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  <col min="7" max="26" width="11.42578125" customWidth="1"/>
  </cols>
  <sheetData>
    <row r="1" spans="1:6" x14ac:dyDescent="0.25">
      <c r="A1" s="50" t="s">
        <v>45</v>
      </c>
      <c r="B1" s="53" t="s">
        <v>46</v>
      </c>
      <c r="C1" s="54"/>
      <c r="D1" s="54"/>
      <c r="E1" s="55"/>
      <c r="F1" s="50" t="s">
        <v>47</v>
      </c>
    </row>
    <row r="2" spans="1:6" x14ac:dyDescent="0.25">
      <c r="A2" s="51"/>
      <c r="B2" s="56" t="s">
        <v>48</v>
      </c>
      <c r="C2" s="56" t="s">
        <v>49</v>
      </c>
      <c r="D2" s="27" t="s">
        <v>50</v>
      </c>
      <c r="E2" s="28" t="s">
        <v>13</v>
      </c>
      <c r="F2" s="51"/>
    </row>
    <row r="3" spans="1:6" x14ac:dyDescent="0.25">
      <c r="A3" s="52"/>
      <c r="B3" s="52"/>
      <c r="C3" s="52"/>
      <c r="D3" s="29">
        <v>0.3</v>
      </c>
      <c r="E3" s="29">
        <v>0</v>
      </c>
      <c r="F3" s="52"/>
    </row>
    <row r="4" spans="1:6" ht="102" x14ac:dyDescent="0.25">
      <c r="A4" s="30" t="s">
        <v>51</v>
      </c>
      <c r="B4" s="30" t="s">
        <v>52</v>
      </c>
      <c r="C4" s="30" t="s">
        <v>53</v>
      </c>
      <c r="D4" s="30" t="s">
        <v>54</v>
      </c>
      <c r="E4" s="30" t="s">
        <v>55</v>
      </c>
      <c r="F4" s="31">
        <v>15</v>
      </c>
    </row>
    <row r="5" spans="1:6" ht="136.5" customHeight="1" x14ac:dyDescent="0.25">
      <c r="A5" s="30" t="s">
        <v>56</v>
      </c>
      <c r="B5" s="30" t="s">
        <v>57</v>
      </c>
      <c r="C5" s="30" t="s">
        <v>58</v>
      </c>
      <c r="D5" s="30" t="s">
        <v>59</v>
      </c>
      <c r="E5" s="30" t="s">
        <v>60</v>
      </c>
      <c r="F5" s="31">
        <v>25</v>
      </c>
    </row>
    <row r="6" spans="1:6" ht="87" customHeight="1" x14ac:dyDescent="0.25">
      <c r="A6" s="30" t="s">
        <v>61</v>
      </c>
      <c r="B6" s="30" t="s">
        <v>62</v>
      </c>
      <c r="C6" s="30" t="s">
        <v>63</v>
      </c>
      <c r="D6" s="30" t="s">
        <v>64</v>
      </c>
      <c r="E6" s="30" t="s">
        <v>65</v>
      </c>
      <c r="F6" s="31">
        <v>20</v>
      </c>
    </row>
    <row r="7" spans="1:6" ht="89.25" x14ac:dyDescent="0.25">
      <c r="A7" s="30" t="s">
        <v>66</v>
      </c>
      <c r="B7" s="30" t="s">
        <v>67</v>
      </c>
      <c r="C7" s="30" t="s">
        <v>68</v>
      </c>
      <c r="D7" s="30" t="s">
        <v>69</v>
      </c>
      <c r="E7" s="30" t="s">
        <v>70</v>
      </c>
      <c r="F7" s="31">
        <v>5</v>
      </c>
    </row>
    <row r="8" spans="1:6" ht="89.25" x14ac:dyDescent="0.25">
      <c r="A8" s="30" t="s">
        <v>71</v>
      </c>
      <c r="B8" s="30" t="s">
        <v>72</v>
      </c>
      <c r="C8" s="30" t="s">
        <v>73</v>
      </c>
      <c r="D8" s="30" t="s">
        <v>74</v>
      </c>
      <c r="E8" s="30" t="s">
        <v>75</v>
      </c>
      <c r="F8" s="31">
        <v>5</v>
      </c>
    </row>
    <row r="9" spans="1:6" ht="89.25" x14ac:dyDescent="0.25">
      <c r="A9" s="30" t="s">
        <v>76</v>
      </c>
      <c r="B9" s="30" t="s">
        <v>77</v>
      </c>
      <c r="C9" s="30" t="s">
        <v>78</v>
      </c>
      <c r="D9" s="30" t="s">
        <v>79</v>
      </c>
      <c r="E9" s="30" t="s">
        <v>80</v>
      </c>
      <c r="F9" s="32">
        <v>20</v>
      </c>
    </row>
    <row r="10" spans="1:6" ht="126" customHeight="1" x14ac:dyDescent="0.25">
      <c r="A10" s="30" t="s">
        <v>81</v>
      </c>
      <c r="B10" s="30" t="s">
        <v>82</v>
      </c>
      <c r="C10" s="30" t="s">
        <v>83</v>
      </c>
      <c r="D10" s="30" t="s">
        <v>84</v>
      </c>
      <c r="E10" s="30" t="s">
        <v>85</v>
      </c>
      <c r="F10" s="32">
        <v>10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:A3"/>
    <mergeCell ref="B1:E1"/>
    <mergeCell ref="F1:F3"/>
    <mergeCell ref="B2:B3"/>
    <mergeCell ref="C2:C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6" width="10.7109375" customWidth="1"/>
  </cols>
  <sheetData>
    <row r="1" spans="1:2" x14ac:dyDescent="0.25">
      <c r="A1" s="33" t="s">
        <v>15</v>
      </c>
      <c r="B1" s="33" t="s">
        <v>16</v>
      </c>
    </row>
    <row r="2" spans="1:2" x14ac:dyDescent="0.25">
      <c r="A2" s="33">
        <v>0</v>
      </c>
      <c r="B2" s="33">
        <v>1</v>
      </c>
    </row>
    <row r="3" spans="1:2" x14ac:dyDescent="0.25">
      <c r="A3" s="33">
        <v>0.5</v>
      </c>
      <c r="B3" s="33">
        <v>1</v>
      </c>
    </row>
    <row r="4" spans="1:2" x14ac:dyDescent="0.25">
      <c r="A4" s="33">
        <v>1</v>
      </c>
      <c r="B4" s="33">
        <v>1.1000000000000001</v>
      </c>
    </row>
    <row r="5" spans="1:2" x14ac:dyDescent="0.25">
      <c r="A5" s="33">
        <v>1.5</v>
      </c>
      <c r="B5" s="33">
        <v>1.1000000000000001</v>
      </c>
    </row>
    <row r="6" spans="1:2" x14ac:dyDescent="0.25">
      <c r="A6" s="33">
        <v>2</v>
      </c>
      <c r="B6" s="33">
        <v>1.1000000000000001</v>
      </c>
    </row>
    <row r="7" spans="1:2" x14ac:dyDescent="0.25">
      <c r="A7" s="33">
        <v>2.5</v>
      </c>
      <c r="B7" s="33">
        <v>1.1000000000000001</v>
      </c>
    </row>
    <row r="8" spans="1:2" x14ac:dyDescent="0.25">
      <c r="A8" s="33">
        <v>3</v>
      </c>
      <c r="B8" s="33">
        <v>1.2</v>
      </c>
    </row>
    <row r="9" spans="1:2" x14ac:dyDescent="0.25">
      <c r="A9" s="33">
        <v>3.5</v>
      </c>
      <c r="B9" s="33">
        <v>1.2</v>
      </c>
    </row>
    <row r="10" spans="1:2" x14ac:dyDescent="0.25">
      <c r="A10" s="33">
        <v>4</v>
      </c>
      <c r="B10" s="33">
        <v>1.2</v>
      </c>
    </row>
    <row r="11" spans="1:2" x14ac:dyDescent="0.25">
      <c r="A11" s="33">
        <v>4.5</v>
      </c>
      <c r="B11" s="33">
        <v>1.2</v>
      </c>
    </row>
    <row r="12" spans="1:2" x14ac:dyDescent="0.25">
      <c r="A12" s="33">
        <v>5</v>
      </c>
      <c r="B12" s="33">
        <v>1.3</v>
      </c>
    </row>
    <row r="13" spans="1:2" x14ac:dyDescent="0.25">
      <c r="A13" s="33">
        <v>5.5</v>
      </c>
      <c r="B13" s="33">
        <v>1.3</v>
      </c>
    </row>
    <row r="14" spans="1:2" x14ac:dyDescent="0.25">
      <c r="A14" s="33">
        <v>6</v>
      </c>
      <c r="B14" s="33">
        <v>1.3</v>
      </c>
    </row>
    <row r="15" spans="1:2" x14ac:dyDescent="0.25">
      <c r="A15" s="33">
        <v>6.5</v>
      </c>
      <c r="B15" s="33">
        <v>1.3</v>
      </c>
    </row>
    <row r="16" spans="1:2" x14ac:dyDescent="0.25">
      <c r="A16" s="33">
        <v>7</v>
      </c>
      <c r="B16" s="33">
        <v>1.4</v>
      </c>
    </row>
    <row r="17" spans="1:2" x14ac:dyDescent="0.25">
      <c r="A17" s="33">
        <v>7.5</v>
      </c>
      <c r="B17" s="33">
        <v>1.4</v>
      </c>
    </row>
    <row r="18" spans="1:2" x14ac:dyDescent="0.25">
      <c r="A18" s="33">
        <v>8</v>
      </c>
      <c r="B18" s="33">
        <v>1.4</v>
      </c>
    </row>
    <row r="19" spans="1:2" x14ac:dyDescent="0.25">
      <c r="A19" s="33">
        <v>8.5</v>
      </c>
      <c r="B19" s="33">
        <v>1.4</v>
      </c>
    </row>
    <row r="20" spans="1:2" x14ac:dyDescent="0.25">
      <c r="A20" s="33">
        <v>9</v>
      </c>
      <c r="B20" s="33">
        <v>1.5</v>
      </c>
    </row>
    <row r="21" spans="1:2" ht="15.75" customHeight="1" x14ac:dyDescent="0.25">
      <c r="A21" s="33">
        <v>9.5</v>
      </c>
      <c r="B21" s="33">
        <v>1.5</v>
      </c>
    </row>
    <row r="22" spans="1:2" ht="15.75" customHeight="1" x14ac:dyDescent="0.25">
      <c r="A22" s="33">
        <v>10</v>
      </c>
      <c r="B22" s="33">
        <v>1.5</v>
      </c>
    </row>
    <row r="23" spans="1:2" ht="15.75" customHeight="1" x14ac:dyDescent="0.25">
      <c r="A23" s="33">
        <v>10.5</v>
      </c>
      <c r="B23" s="33">
        <v>1.5</v>
      </c>
    </row>
    <row r="24" spans="1:2" ht="15.75" customHeight="1" x14ac:dyDescent="0.25">
      <c r="A24" s="33">
        <v>11</v>
      </c>
      <c r="B24" s="33">
        <v>1.6</v>
      </c>
    </row>
    <row r="25" spans="1:2" ht="15.75" customHeight="1" x14ac:dyDescent="0.25">
      <c r="A25" s="33">
        <v>11.5</v>
      </c>
      <c r="B25" s="33">
        <v>1.6</v>
      </c>
    </row>
    <row r="26" spans="1:2" ht="15.75" customHeight="1" x14ac:dyDescent="0.25">
      <c r="A26" s="33">
        <v>12</v>
      </c>
      <c r="B26" s="33">
        <v>1.6</v>
      </c>
    </row>
    <row r="27" spans="1:2" ht="15.75" customHeight="1" x14ac:dyDescent="0.25">
      <c r="A27" s="33">
        <v>12.5</v>
      </c>
      <c r="B27" s="33">
        <v>1.6</v>
      </c>
    </row>
    <row r="28" spans="1:2" ht="15.75" customHeight="1" x14ac:dyDescent="0.25">
      <c r="A28" s="33">
        <v>13</v>
      </c>
      <c r="B28" s="33">
        <v>1.7</v>
      </c>
    </row>
    <row r="29" spans="1:2" ht="15.75" customHeight="1" x14ac:dyDescent="0.25">
      <c r="A29" s="33">
        <v>13.5</v>
      </c>
      <c r="B29" s="33">
        <v>1.7</v>
      </c>
    </row>
    <row r="30" spans="1:2" ht="15.75" customHeight="1" x14ac:dyDescent="0.25">
      <c r="A30" s="33">
        <v>14</v>
      </c>
      <c r="B30" s="33">
        <v>1.7</v>
      </c>
    </row>
    <row r="31" spans="1:2" ht="15.75" customHeight="1" x14ac:dyDescent="0.25">
      <c r="A31" s="33">
        <v>14.5</v>
      </c>
      <c r="B31" s="33">
        <v>1.7</v>
      </c>
    </row>
    <row r="32" spans="1:2" ht="15.75" customHeight="1" x14ac:dyDescent="0.25">
      <c r="A32" s="33">
        <v>15</v>
      </c>
      <c r="B32" s="33">
        <v>1.8</v>
      </c>
    </row>
    <row r="33" spans="1:2" ht="15.75" customHeight="1" x14ac:dyDescent="0.25">
      <c r="A33" s="33">
        <v>15.5</v>
      </c>
      <c r="B33" s="33">
        <v>1.8</v>
      </c>
    </row>
    <row r="34" spans="1:2" ht="15.75" customHeight="1" x14ac:dyDescent="0.25">
      <c r="A34" s="33">
        <v>16</v>
      </c>
      <c r="B34" s="33">
        <v>1.8</v>
      </c>
    </row>
    <row r="35" spans="1:2" ht="15.75" customHeight="1" x14ac:dyDescent="0.25">
      <c r="A35" s="33">
        <v>16.5</v>
      </c>
      <c r="B35" s="33">
        <v>1.8</v>
      </c>
    </row>
    <row r="36" spans="1:2" ht="15.75" customHeight="1" x14ac:dyDescent="0.25">
      <c r="A36" s="33">
        <v>17</v>
      </c>
      <c r="B36" s="33">
        <v>1.9</v>
      </c>
    </row>
    <row r="37" spans="1:2" ht="15.75" customHeight="1" x14ac:dyDescent="0.25">
      <c r="A37" s="33">
        <v>17.5</v>
      </c>
      <c r="B37" s="33">
        <v>1.9</v>
      </c>
    </row>
    <row r="38" spans="1:2" ht="15.75" customHeight="1" x14ac:dyDescent="0.25">
      <c r="A38" s="33">
        <v>18</v>
      </c>
      <c r="B38" s="33">
        <v>1.9</v>
      </c>
    </row>
    <row r="39" spans="1:2" ht="15.75" customHeight="1" x14ac:dyDescent="0.25">
      <c r="A39" s="33">
        <v>18.5</v>
      </c>
      <c r="B39" s="33">
        <v>1.9</v>
      </c>
    </row>
    <row r="40" spans="1:2" ht="15.75" customHeight="1" x14ac:dyDescent="0.25">
      <c r="A40" s="33">
        <v>19</v>
      </c>
      <c r="B40" s="33">
        <v>2</v>
      </c>
    </row>
    <row r="41" spans="1:2" ht="15.75" customHeight="1" x14ac:dyDescent="0.25">
      <c r="A41" s="33">
        <v>19.5</v>
      </c>
      <c r="B41" s="33">
        <v>2</v>
      </c>
    </row>
    <row r="42" spans="1:2" ht="15.75" customHeight="1" x14ac:dyDescent="0.25">
      <c r="A42" s="33">
        <v>20</v>
      </c>
      <c r="B42" s="33">
        <v>2</v>
      </c>
    </row>
    <row r="43" spans="1:2" ht="15.75" customHeight="1" x14ac:dyDescent="0.25">
      <c r="A43" s="33">
        <v>20.5</v>
      </c>
      <c r="B43" s="33">
        <v>2</v>
      </c>
    </row>
    <row r="44" spans="1:2" ht="15.75" customHeight="1" x14ac:dyDescent="0.25">
      <c r="A44" s="33">
        <v>21</v>
      </c>
      <c r="B44" s="33">
        <v>2.1</v>
      </c>
    </row>
    <row r="45" spans="1:2" ht="15.75" customHeight="1" x14ac:dyDescent="0.25">
      <c r="A45" s="33">
        <v>21.5</v>
      </c>
      <c r="B45" s="33">
        <v>2.1</v>
      </c>
    </row>
    <row r="46" spans="1:2" ht="15.75" customHeight="1" x14ac:dyDescent="0.25">
      <c r="A46" s="33">
        <v>22</v>
      </c>
      <c r="B46" s="33">
        <v>2.1</v>
      </c>
    </row>
    <row r="47" spans="1:2" ht="15.75" customHeight="1" x14ac:dyDescent="0.25">
      <c r="A47" s="33">
        <v>22.5</v>
      </c>
      <c r="B47" s="33">
        <v>2.1</v>
      </c>
    </row>
    <row r="48" spans="1:2" ht="15.75" customHeight="1" x14ac:dyDescent="0.25">
      <c r="A48" s="33">
        <v>23</v>
      </c>
      <c r="B48" s="33">
        <v>2.2000000000000002</v>
      </c>
    </row>
    <row r="49" spans="1:2" ht="15.75" customHeight="1" x14ac:dyDescent="0.25">
      <c r="A49" s="33">
        <v>23.5</v>
      </c>
      <c r="B49" s="33">
        <v>2.2000000000000002</v>
      </c>
    </row>
    <row r="50" spans="1:2" ht="15.75" customHeight="1" x14ac:dyDescent="0.25">
      <c r="A50" s="33">
        <v>24</v>
      </c>
      <c r="B50" s="33">
        <v>2.2000000000000002</v>
      </c>
    </row>
    <row r="51" spans="1:2" ht="15.75" customHeight="1" x14ac:dyDescent="0.25">
      <c r="A51" s="33">
        <v>24.5</v>
      </c>
      <c r="B51" s="33">
        <v>2.2000000000000002</v>
      </c>
    </row>
    <row r="52" spans="1:2" ht="15.75" customHeight="1" x14ac:dyDescent="0.25">
      <c r="A52" s="33">
        <v>25</v>
      </c>
      <c r="B52" s="33">
        <v>2.2999999999999998</v>
      </c>
    </row>
    <row r="53" spans="1:2" ht="15.75" customHeight="1" x14ac:dyDescent="0.25">
      <c r="A53" s="33">
        <v>25.5</v>
      </c>
      <c r="B53" s="33">
        <v>2.2999999999999998</v>
      </c>
    </row>
    <row r="54" spans="1:2" ht="15.75" customHeight="1" x14ac:dyDescent="0.25">
      <c r="A54" s="33">
        <v>26</v>
      </c>
      <c r="B54" s="33">
        <v>2.2999999999999998</v>
      </c>
    </row>
    <row r="55" spans="1:2" ht="15.75" customHeight="1" x14ac:dyDescent="0.25">
      <c r="A55" s="33">
        <v>26.5</v>
      </c>
      <c r="B55" s="33">
        <v>2.2999999999999998</v>
      </c>
    </row>
    <row r="56" spans="1:2" ht="15.75" customHeight="1" x14ac:dyDescent="0.25">
      <c r="A56" s="33">
        <v>27</v>
      </c>
      <c r="B56" s="33">
        <v>2.4</v>
      </c>
    </row>
    <row r="57" spans="1:2" ht="15.75" customHeight="1" x14ac:dyDescent="0.25">
      <c r="A57" s="33">
        <v>27.5</v>
      </c>
      <c r="B57" s="33">
        <v>2.4</v>
      </c>
    </row>
    <row r="58" spans="1:2" ht="15.75" customHeight="1" x14ac:dyDescent="0.25">
      <c r="A58" s="33">
        <v>28</v>
      </c>
      <c r="B58" s="33">
        <v>2.4</v>
      </c>
    </row>
    <row r="59" spans="1:2" ht="15.75" customHeight="1" x14ac:dyDescent="0.25">
      <c r="A59" s="33">
        <v>28.5</v>
      </c>
      <c r="B59" s="33">
        <v>2.4</v>
      </c>
    </row>
    <row r="60" spans="1:2" ht="15.75" customHeight="1" x14ac:dyDescent="0.25">
      <c r="A60" s="33">
        <v>29</v>
      </c>
      <c r="B60" s="33">
        <v>2.5</v>
      </c>
    </row>
    <row r="61" spans="1:2" ht="15.75" customHeight="1" x14ac:dyDescent="0.25">
      <c r="A61" s="33">
        <v>29.5</v>
      </c>
      <c r="B61" s="33">
        <v>2.5</v>
      </c>
    </row>
    <row r="62" spans="1:2" ht="15.75" customHeight="1" x14ac:dyDescent="0.25">
      <c r="A62" s="33">
        <v>30</v>
      </c>
      <c r="B62" s="33">
        <v>2.5</v>
      </c>
    </row>
    <row r="63" spans="1:2" ht="15.75" customHeight="1" x14ac:dyDescent="0.25">
      <c r="A63" s="33">
        <v>30.5</v>
      </c>
      <c r="B63" s="33">
        <v>2.5</v>
      </c>
    </row>
    <row r="64" spans="1:2" ht="15.75" customHeight="1" x14ac:dyDescent="0.25">
      <c r="A64" s="33">
        <v>31</v>
      </c>
      <c r="B64" s="33">
        <v>2.6</v>
      </c>
    </row>
    <row r="65" spans="1:2" ht="15.75" customHeight="1" x14ac:dyDescent="0.25">
      <c r="A65" s="33">
        <v>31.5</v>
      </c>
      <c r="B65" s="33">
        <v>2.6</v>
      </c>
    </row>
    <row r="66" spans="1:2" ht="15.75" customHeight="1" x14ac:dyDescent="0.25">
      <c r="A66" s="33">
        <v>32</v>
      </c>
      <c r="B66" s="33">
        <v>2.6</v>
      </c>
    </row>
    <row r="67" spans="1:2" ht="15.75" customHeight="1" x14ac:dyDescent="0.25">
      <c r="A67" s="33">
        <v>32.5</v>
      </c>
      <c r="B67" s="33">
        <v>2.6</v>
      </c>
    </row>
    <row r="68" spans="1:2" ht="15.75" customHeight="1" x14ac:dyDescent="0.25">
      <c r="A68" s="33">
        <v>33</v>
      </c>
      <c r="B68" s="33">
        <v>2.7</v>
      </c>
    </row>
    <row r="69" spans="1:2" ht="15.75" customHeight="1" x14ac:dyDescent="0.25">
      <c r="A69" s="33">
        <v>33.5</v>
      </c>
      <c r="B69" s="33">
        <v>2.7</v>
      </c>
    </row>
    <row r="70" spans="1:2" ht="15.75" customHeight="1" x14ac:dyDescent="0.25">
      <c r="A70" s="33">
        <v>34</v>
      </c>
      <c r="B70" s="33">
        <v>2.7</v>
      </c>
    </row>
    <row r="71" spans="1:2" ht="15.75" customHeight="1" x14ac:dyDescent="0.25">
      <c r="A71" s="33">
        <v>34.5</v>
      </c>
      <c r="B71" s="33">
        <v>2.7</v>
      </c>
    </row>
    <row r="72" spans="1:2" ht="15.75" customHeight="1" x14ac:dyDescent="0.25">
      <c r="A72" s="33">
        <v>35</v>
      </c>
      <c r="B72" s="33">
        <v>2.8</v>
      </c>
    </row>
    <row r="73" spans="1:2" ht="15.75" customHeight="1" x14ac:dyDescent="0.25">
      <c r="A73" s="33">
        <v>35.5</v>
      </c>
      <c r="B73" s="33">
        <v>2.8</v>
      </c>
    </row>
    <row r="74" spans="1:2" ht="15.75" customHeight="1" x14ac:dyDescent="0.25">
      <c r="A74" s="33">
        <v>36</v>
      </c>
      <c r="B74" s="33">
        <v>2.8</v>
      </c>
    </row>
    <row r="75" spans="1:2" ht="15.75" customHeight="1" x14ac:dyDescent="0.25">
      <c r="A75" s="33">
        <v>36.5</v>
      </c>
      <c r="B75" s="33">
        <v>2.8</v>
      </c>
    </row>
    <row r="76" spans="1:2" ht="15.75" customHeight="1" x14ac:dyDescent="0.25">
      <c r="A76" s="33">
        <v>37</v>
      </c>
      <c r="B76" s="33">
        <v>2.9</v>
      </c>
    </row>
    <row r="77" spans="1:2" ht="15.75" customHeight="1" x14ac:dyDescent="0.25">
      <c r="A77" s="33">
        <v>37.5</v>
      </c>
      <c r="B77" s="33">
        <v>2.9</v>
      </c>
    </row>
    <row r="78" spans="1:2" ht="15.75" customHeight="1" x14ac:dyDescent="0.25">
      <c r="A78" s="33">
        <v>38</v>
      </c>
      <c r="B78" s="33">
        <v>2.9</v>
      </c>
    </row>
    <row r="79" spans="1:2" ht="15.75" customHeight="1" x14ac:dyDescent="0.25">
      <c r="A79" s="33">
        <v>38.5</v>
      </c>
      <c r="B79" s="33">
        <v>2.9</v>
      </c>
    </row>
    <row r="80" spans="1:2" ht="15.75" customHeight="1" x14ac:dyDescent="0.25">
      <c r="A80" s="33">
        <v>39</v>
      </c>
      <c r="B80" s="33">
        <v>3</v>
      </c>
    </row>
    <row r="81" spans="1:2" ht="15.75" customHeight="1" x14ac:dyDescent="0.25">
      <c r="A81" s="33">
        <v>39.5</v>
      </c>
      <c r="B81" s="33">
        <v>3</v>
      </c>
    </row>
    <row r="82" spans="1:2" ht="15.75" customHeight="1" x14ac:dyDescent="0.25">
      <c r="A82" s="33">
        <v>40</v>
      </c>
      <c r="B82" s="33">
        <v>3</v>
      </c>
    </row>
    <row r="83" spans="1:2" ht="15.75" customHeight="1" x14ac:dyDescent="0.25">
      <c r="A83" s="33">
        <v>40.5</v>
      </c>
      <c r="B83" s="33">
        <v>3</v>
      </c>
    </row>
    <row r="84" spans="1:2" ht="15.75" customHeight="1" x14ac:dyDescent="0.25">
      <c r="A84" s="33">
        <v>41</v>
      </c>
      <c r="B84" s="33">
        <v>3.1</v>
      </c>
    </row>
    <row r="85" spans="1:2" ht="15.75" customHeight="1" x14ac:dyDescent="0.25">
      <c r="A85" s="33">
        <v>41.5</v>
      </c>
      <c r="B85" s="33">
        <v>3.1</v>
      </c>
    </row>
    <row r="86" spans="1:2" ht="15.75" customHeight="1" x14ac:dyDescent="0.25">
      <c r="A86" s="33">
        <v>42</v>
      </c>
      <c r="B86" s="33">
        <v>3.1</v>
      </c>
    </row>
    <row r="87" spans="1:2" ht="15.75" customHeight="1" x14ac:dyDescent="0.25">
      <c r="A87" s="33">
        <v>42.5</v>
      </c>
      <c r="B87" s="33">
        <v>3.1</v>
      </c>
    </row>
    <row r="88" spans="1:2" ht="15.75" customHeight="1" x14ac:dyDescent="0.25">
      <c r="A88" s="33">
        <v>43</v>
      </c>
      <c r="B88" s="33">
        <v>3.2</v>
      </c>
    </row>
    <row r="89" spans="1:2" ht="15.75" customHeight="1" x14ac:dyDescent="0.25">
      <c r="A89" s="33">
        <v>43.5</v>
      </c>
      <c r="B89" s="33">
        <v>3.2</v>
      </c>
    </row>
    <row r="90" spans="1:2" ht="15.75" customHeight="1" x14ac:dyDescent="0.25">
      <c r="A90" s="33">
        <v>44</v>
      </c>
      <c r="B90" s="33">
        <v>3.2</v>
      </c>
    </row>
    <row r="91" spans="1:2" ht="15.75" customHeight="1" x14ac:dyDescent="0.25">
      <c r="A91" s="33">
        <v>44.5</v>
      </c>
      <c r="B91" s="33">
        <v>3.2</v>
      </c>
    </row>
    <row r="92" spans="1:2" ht="15.75" customHeight="1" x14ac:dyDescent="0.25">
      <c r="A92" s="33">
        <v>45</v>
      </c>
      <c r="B92" s="33">
        <v>3.3</v>
      </c>
    </row>
    <row r="93" spans="1:2" ht="15.75" customHeight="1" x14ac:dyDescent="0.25">
      <c r="A93" s="33">
        <v>45.5</v>
      </c>
      <c r="B93" s="33">
        <v>3.3</v>
      </c>
    </row>
    <row r="94" spans="1:2" ht="15.75" customHeight="1" x14ac:dyDescent="0.25">
      <c r="A94" s="33">
        <v>46</v>
      </c>
      <c r="B94" s="33">
        <v>3.3</v>
      </c>
    </row>
    <row r="95" spans="1:2" ht="15.75" customHeight="1" x14ac:dyDescent="0.25">
      <c r="A95" s="33">
        <v>46.5</v>
      </c>
      <c r="B95" s="33">
        <v>3.3</v>
      </c>
    </row>
    <row r="96" spans="1:2" ht="15.75" customHeight="1" x14ac:dyDescent="0.25">
      <c r="A96" s="33">
        <v>47</v>
      </c>
      <c r="B96" s="33">
        <v>3.4</v>
      </c>
    </row>
    <row r="97" spans="1:2" ht="15.75" customHeight="1" x14ac:dyDescent="0.25">
      <c r="A97" s="33">
        <v>47.5</v>
      </c>
      <c r="B97" s="33">
        <v>3.4</v>
      </c>
    </row>
    <row r="98" spans="1:2" ht="15.75" customHeight="1" x14ac:dyDescent="0.25">
      <c r="A98" s="33">
        <v>48</v>
      </c>
      <c r="B98" s="33">
        <v>3.4</v>
      </c>
    </row>
    <row r="99" spans="1:2" ht="15.75" customHeight="1" x14ac:dyDescent="0.25">
      <c r="A99" s="33">
        <v>48.5</v>
      </c>
      <c r="B99" s="33">
        <v>3.4</v>
      </c>
    </row>
    <row r="100" spans="1:2" ht="15.75" customHeight="1" x14ac:dyDescent="0.25">
      <c r="A100" s="33">
        <v>49</v>
      </c>
      <c r="B100" s="33">
        <v>3.5</v>
      </c>
    </row>
    <row r="101" spans="1:2" ht="15.75" customHeight="1" x14ac:dyDescent="0.25">
      <c r="A101" s="33">
        <v>49.5</v>
      </c>
      <c r="B101" s="33">
        <v>3.5</v>
      </c>
    </row>
    <row r="102" spans="1:2" ht="15.75" customHeight="1" x14ac:dyDescent="0.25">
      <c r="A102" s="33">
        <v>50</v>
      </c>
      <c r="B102" s="33">
        <v>3.5</v>
      </c>
    </row>
    <row r="103" spans="1:2" ht="15.75" customHeight="1" x14ac:dyDescent="0.25">
      <c r="A103" s="33">
        <v>50.5</v>
      </c>
      <c r="B103" s="33">
        <v>3.5</v>
      </c>
    </row>
    <row r="104" spans="1:2" ht="15.75" customHeight="1" x14ac:dyDescent="0.25">
      <c r="A104" s="33">
        <v>51</v>
      </c>
      <c r="B104" s="33">
        <v>3.6</v>
      </c>
    </row>
    <row r="105" spans="1:2" ht="15.75" customHeight="1" x14ac:dyDescent="0.25">
      <c r="A105" s="33">
        <v>51.5</v>
      </c>
      <c r="B105" s="33">
        <v>3.6</v>
      </c>
    </row>
    <row r="106" spans="1:2" ht="15.75" customHeight="1" x14ac:dyDescent="0.25">
      <c r="A106" s="33">
        <v>52</v>
      </c>
      <c r="B106" s="33">
        <v>3.6</v>
      </c>
    </row>
    <row r="107" spans="1:2" ht="15.75" customHeight="1" x14ac:dyDescent="0.25">
      <c r="A107" s="33">
        <v>52.5</v>
      </c>
      <c r="B107" s="33">
        <v>3.6</v>
      </c>
    </row>
    <row r="108" spans="1:2" ht="15.75" customHeight="1" x14ac:dyDescent="0.25">
      <c r="A108" s="33">
        <v>53</v>
      </c>
      <c r="B108" s="33">
        <v>3.7</v>
      </c>
    </row>
    <row r="109" spans="1:2" ht="15.75" customHeight="1" x14ac:dyDescent="0.25">
      <c r="A109" s="33">
        <v>53.5</v>
      </c>
      <c r="B109" s="33">
        <v>3.7</v>
      </c>
    </row>
    <row r="110" spans="1:2" ht="15.75" customHeight="1" x14ac:dyDescent="0.25">
      <c r="A110" s="33">
        <v>54</v>
      </c>
      <c r="B110" s="33">
        <v>3.7</v>
      </c>
    </row>
    <row r="111" spans="1:2" ht="15.75" customHeight="1" x14ac:dyDescent="0.25">
      <c r="A111" s="33">
        <v>54.5</v>
      </c>
      <c r="B111" s="33">
        <v>3.7</v>
      </c>
    </row>
    <row r="112" spans="1:2" ht="15.75" customHeight="1" x14ac:dyDescent="0.25">
      <c r="A112" s="33">
        <v>55</v>
      </c>
      <c r="B112" s="33">
        <v>3.8</v>
      </c>
    </row>
    <row r="113" spans="1:2" ht="15.75" customHeight="1" x14ac:dyDescent="0.25">
      <c r="A113" s="33">
        <v>55.5</v>
      </c>
      <c r="B113" s="33">
        <v>3.8</v>
      </c>
    </row>
    <row r="114" spans="1:2" ht="15.75" customHeight="1" x14ac:dyDescent="0.25">
      <c r="A114" s="33">
        <v>56</v>
      </c>
      <c r="B114" s="33">
        <v>3.8</v>
      </c>
    </row>
    <row r="115" spans="1:2" ht="15.75" customHeight="1" x14ac:dyDescent="0.25">
      <c r="A115" s="33">
        <v>56.5</v>
      </c>
      <c r="B115" s="33">
        <v>3.8</v>
      </c>
    </row>
    <row r="116" spans="1:2" ht="15.75" customHeight="1" x14ac:dyDescent="0.25">
      <c r="A116" s="33">
        <v>57</v>
      </c>
      <c r="B116" s="33">
        <v>3.9</v>
      </c>
    </row>
    <row r="117" spans="1:2" ht="15.75" customHeight="1" x14ac:dyDescent="0.25">
      <c r="A117" s="33">
        <v>57.5</v>
      </c>
      <c r="B117" s="33">
        <v>3.9</v>
      </c>
    </row>
    <row r="118" spans="1:2" ht="15.75" customHeight="1" x14ac:dyDescent="0.25">
      <c r="A118" s="33">
        <v>58</v>
      </c>
      <c r="B118" s="33">
        <v>3.9</v>
      </c>
    </row>
    <row r="119" spans="1:2" ht="15.75" customHeight="1" x14ac:dyDescent="0.25">
      <c r="A119" s="33">
        <v>58.5</v>
      </c>
      <c r="B119" s="33">
        <v>3.9</v>
      </c>
    </row>
    <row r="120" spans="1:2" ht="15.75" customHeight="1" x14ac:dyDescent="0.25">
      <c r="A120" s="33">
        <v>59</v>
      </c>
      <c r="B120" s="33">
        <v>4</v>
      </c>
    </row>
    <row r="121" spans="1:2" ht="15.75" customHeight="1" x14ac:dyDescent="0.25">
      <c r="A121" s="33">
        <v>59.5</v>
      </c>
      <c r="B121" s="33">
        <v>4</v>
      </c>
    </row>
    <row r="122" spans="1:2" ht="15.75" customHeight="1" x14ac:dyDescent="0.25">
      <c r="A122" s="33">
        <v>60</v>
      </c>
      <c r="B122" s="33">
        <v>4</v>
      </c>
    </row>
    <row r="123" spans="1:2" ht="15.75" customHeight="1" x14ac:dyDescent="0.25">
      <c r="A123" s="33">
        <v>60.5</v>
      </c>
      <c r="B123" s="33">
        <v>4</v>
      </c>
    </row>
    <row r="124" spans="1:2" ht="15.75" customHeight="1" x14ac:dyDescent="0.25">
      <c r="A124" s="33">
        <v>61</v>
      </c>
      <c r="B124" s="33">
        <v>4.0999999999999996</v>
      </c>
    </row>
    <row r="125" spans="1:2" ht="15.75" customHeight="1" x14ac:dyDescent="0.25">
      <c r="A125" s="33">
        <v>61.5</v>
      </c>
      <c r="B125" s="33">
        <v>4.0999999999999996</v>
      </c>
    </row>
    <row r="126" spans="1:2" ht="15.75" customHeight="1" x14ac:dyDescent="0.25">
      <c r="A126" s="33">
        <v>62</v>
      </c>
      <c r="B126" s="33">
        <v>4.2</v>
      </c>
    </row>
    <row r="127" spans="1:2" ht="15.75" customHeight="1" x14ac:dyDescent="0.25">
      <c r="A127" s="33">
        <v>62.5</v>
      </c>
      <c r="B127" s="33">
        <v>4.2</v>
      </c>
    </row>
    <row r="128" spans="1:2" ht="15.75" customHeight="1" x14ac:dyDescent="0.25">
      <c r="A128" s="33">
        <v>63</v>
      </c>
      <c r="B128" s="33">
        <v>4.2</v>
      </c>
    </row>
    <row r="129" spans="1:2" ht="15.75" customHeight="1" x14ac:dyDescent="0.25">
      <c r="A129" s="33">
        <v>63.5</v>
      </c>
      <c r="B129" s="33">
        <v>4.3</v>
      </c>
    </row>
    <row r="130" spans="1:2" ht="15.75" customHeight="1" x14ac:dyDescent="0.25">
      <c r="A130" s="33">
        <v>64</v>
      </c>
      <c r="B130" s="33">
        <v>4.3</v>
      </c>
    </row>
    <row r="131" spans="1:2" ht="15.75" customHeight="1" x14ac:dyDescent="0.25">
      <c r="A131" s="33">
        <v>64.5</v>
      </c>
      <c r="B131" s="33">
        <v>4.3</v>
      </c>
    </row>
    <row r="132" spans="1:2" ht="15.75" customHeight="1" x14ac:dyDescent="0.25">
      <c r="A132" s="33">
        <v>65</v>
      </c>
      <c r="B132" s="33">
        <v>4.4000000000000004</v>
      </c>
    </row>
    <row r="133" spans="1:2" ht="15.75" customHeight="1" x14ac:dyDescent="0.25">
      <c r="A133" s="33">
        <v>65.5</v>
      </c>
      <c r="B133" s="33">
        <v>4.4000000000000004</v>
      </c>
    </row>
    <row r="134" spans="1:2" ht="15.75" customHeight="1" x14ac:dyDescent="0.25">
      <c r="A134" s="33">
        <v>66</v>
      </c>
      <c r="B134" s="33">
        <v>4.5</v>
      </c>
    </row>
    <row r="135" spans="1:2" ht="15.75" customHeight="1" x14ac:dyDescent="0.25">
      <c r="A135" s="33">
        <v>66.5</v>
      </c>
      <c r="B135" s="33">
        <v>4.5</v>
      </c>
    </row>
    <row r="136" spans="1:2" ht="15.75" customHeight="1" x14ac:dyDescent="0.25">
      <c r="A136" s="33">
        <v>67</v>
      </c>
      <c r="B136" s="33">
        <v>4.5</v>
      </c>
    </row>
    <row r="137" spans="1:2" ht="15.75" customHeight="1" x14ac:dyDescent="0.25">
      <c r="A137" s="33">
        <v>67.5</v>
      </c>
      <c r="B137" s="33">
        <v>4.5999999999999996</v>
      </c>
    </row>
    <row r="138" spans="1:2" ht="15.75" customHeight="1" x14ac:dyDescent="0.25">
      <c r="A138" s="33">
        <v>68</v>
      </c>
      <c r="B138" s="33">
        <v>4.5999999999999996</v>
      </c>
    </row>
    <row r="139" spans="1:2" ht="15.75" customHeight="1" x14ac:dyDescent="0.25">
      <c r="A139" s="33">
        <v>68.5</v>
      </c>
      <c r="B139" s="33">
        <v>4.5999999999999996</v>
      </c>
    </row>
    <row r="140" spans="1:2" ht="15.75" customHeight="1" x14ac:dyDescent="0.25">
      <c r="A140" s="33">
        <v>69</v>
      </c>
      <c r="B140" s="33">
        <v>4.7</v>
      </c>
    </row>
    <row r="141" spans="1:2" ht="15.75" customHeight="1" x14ac:dyDescent="0.25">
      <c r="A141" s="33">
        <v>69.5</v>
      </c>
      <c r="B141" s="33">
        <v>4.7</v>
      </c>
    </row>
    <row r="142" spans="1:2" ht="15.75" customHeight="1" x14ac:dyDescent="0.25">
      <c r="A142" s="33">
        <v>70</v>
      </c>
      <c r="B142" s="33">
        <v>4.8</v>
      </c>
    </row>
    <row r="143" spans="1:2" ht="15.75" customHeight="1" x14ac:dyDescent="0.25">
      <c r="A143" s="33">
        <v>70.5</v>
      </c>
      <c r="B143" s="33">
        <v>4.8</v>
      </c>
    </row>
    <row r="144" spans="1:2" ht="15.75" customHeight="1" x14ac:dyDescent="0.25">
      <c r="A144" s="33">
        <v>71</v>
      </c>
      <c r="B144" s="33">
        <v>4.8</v>
      </c>
    </row>
    <row r="145" spans="1:2" ht="15.75" customHeight="1" x14ac:dyDescent="0.25">
      <c r="A145" s="33">
        <v>71.5</v>
      </c>
      <c r="B145" s="33">
        <v>4.9000000000000004</v>
      </c>
    </row>
    <row r="146" spans="1:2" ht="15.75" customHeight="1" x14ac:dyDescent="0.25">
      <c r="A146" s="33">
        <v>72</v>
      </c>
      <c r="B146" s="33">
        <v>4.9000000000000004</v>
      </c>
    </row>
    <row r="147" spans="1:2" ht="15.75" customHeight="1" x14ac:dyDescent="0.25">
      <c r="A147" s="33">
        <v>72.5</v>
      </c>
      <c r="B147" s="33">
        <v>4.9000000000000004</v>
      </c>
    </row>
    <row r="148" spans="1:2" ht="15.75" customHeight="1" x14ac:dyDescent="0.25">
      <c r="A148" s="33">
        <v>73</v>
      </c>
      <c r="B148" s="33">
        <v>5</v>
      </c>
    </row>
    <row r="149" spans="1:2" ht="15.75" customHeight="1" x14ac:dyDescent="0.25">
      <c r="A149" s="33">
        <v>73.5</v>
      </c>
      <c r="B149" s="33">
        <v>5</v>
      </c>
    </row>
    <row r="150" spans="1:2" ht="15.75" customHeight="1" x14ac:dyDescent="0.25">
      <c r="A150" s="33">
        <v>74</v>
      </c>
      <c r="B150" s="33">
        <v>5.0999999999999996</v>
      </c>
    </row>
    <row r="151" spans="1:2" ht="15.75" customHeight="1" x14ac:dyDescent="0.25">
      <c r="A151" s="33">
        <v>74.5</v>
      </c>
      <c r="B151" s="33">
        <v>5.0999999999999996</v>
      </c>
    </row>
    <row r="152" spans="1:2" ht="15.75" customHeight="1" x14ac:dyDescent="0.25">
      <c r="A152" s="33">
        <v>75</v>
      </c>
      <c r="B152" s="33">
        <v>5.0999999999999996</v>
      </c>
    </row>
    <row r="153" spans="1:2" ht="15.75" customHeight="1" x14ac:dyDescent="0.25">
      <c r="A153" s="33">
        <v>75.5</v>
      </c>
      <c r="B153" s="33">
        <v>5.2</v>
      </c>
    </row>
    <row r="154" spans="1:2" ht="15.75" customHeight="1" x14ac:dyDescent="0.25">
      <c r="A154" s="33">
        <v>76</v>
      </c>
      <c r="B154" s="33">
        <v>5.2</v>
      </c>
    </row>
    <row r="155" spans="1:2" ht="15.75" customHeight="1" x14ac:dyDescent="0.25">
      <c r="A155" s="33">
        <v>76.5</v>
      </c>
      <c r="B155" s="33">
        <v>5.2</v>
      </c>
    </row>
    <row r="156" spans="1:2" ht="15.75" customHeight="1" x14ac:dyDescent="0.25">
      <c r="A156" s="33">
        <v>77</v>
      </c>
      <c r="B156" s="33">
        <v>5.3</v>
      </c>
    </row>
    <row r="157" spans="1:2" ht="15.75" customHeight="1" x14ac:dyDescent="0.25">
      <c r="A157" s="33">
        <v>77.5</v>
      </c>
      <c r="B157" s="33">
        <v>5.3</v>
      </c>
    </row>
    <row r="158" spans="1:2" ht="15.75" customHeight="1" x14ac:dyDescent="0.25">
      <c r="A158" s="33">
        <v>78</v>
      </c>
      <c r="B158" s="33">
        <v>5.4</v>
      </c>
    </row>
    <row r="159" spans="1:2" ht="15.75" customHeight="1" x14ac:dyDescent="0.25">
      <c r="A159" s="33">
        <v>78.5</v>
      </c>
      <c r="B159" s="33">
        <v>5.4</v>
      </c>
    </row>
    <row r="160" spans="1:2" ht="15.75" customHeight="1" x14ac:dyDescent="0.25">
      <c r="A160" s="33">
        <v>79</v>
      </c>
      <c r="B160" s="33">
        <v>5.4</v>
      </c>
    </row>
    <row r="161" spans="1:2" ht="15.75" customHeight="1" x14ac:dyDescent="0.25">
      <c r="A161" s="33">
        <v>79.5</v>
      </c>
      <c r="B161" s="33">
        <v>5.5</v>
      </c>
    </row>
    <row r="162" spans="1:2" ht="15.75" customHeight="1" x14ac:dyDescent="0.25">
      <c r="A162" s="33">
        <v>80</v>
      </c>
      <c r="B162" s="33">
        <v>5.5</v>
      </c>
    </row>
    <row r="163" spans="1:2" ht="15.75" customHeight="1" x14ac:dyDescent="0.25">
      <c r="A163" s="33">
        <v>80.5</v>
      </c>
      <c r="B163" s="33">
        <v>5.5</v>
      </c>
    </row>
    <row r="164" spans="1:2" ht="15.75" customHeight="1" x14ac:dyDescent="0.25">
      <c r="A164" s="33">
        <v>81</v>
      </c>
      <c r="B164" s="33">
        <v>5.6</v>
      </c>
    </row>
    <row r="165" spans="1:2" ht="15.75" customHeight="1" x14ac:dyDescent="0.25">
      <c r="A165" s="33">
        <v>81.5</v>
      </c>
      <c r="B165" s="33">
        <v>5.6</v>
      </c>
    </row>
    <row r="166" spans="1:2" ht="15.75" customHeight="1" x14ac:dyDescent="0.25">
      <c r="A166" s="33">
        <v>82</v>
      </c>
      <c r="B166" s="33">
        <v>5.7</v>
      </c>
    </row>
    <row r="167" spans="1:2" ht="15.75" customHeight="1" x14ac:dyDescent="0.25">
      <c r="A167" s="33">
        <v>82.5</v>
      </c>
      <c r="B167" s="33">
        <v>5.7</v>
      </c>
    </row>
    <row r="168" spans="1:2" ht="15.75" customHeight="1" x14ac:dyDescent="0.25">
      <c r="A168" s="33">
        <v>83</v>
      </c>
      <c r="B168" s="33">
        <v>5.7</v>
      </c>
    </row>
    <row r="169" spans="1:2" ht="15.75" customHeight="1" x14ac:dyDescent="0.25">
      <c r="A169" s="33">
        <v>83.5</v>
      </c>
      <c r="B169" s="33">
        <v>5.8</v>
      </c>
    </row>
    <row r="170" spans="1:2" ht="15.75" customHeight="1" x14ac:dyDescent="0.25">
      <c r="A170" s="33">
        <v>84</v>
      </c>
      <c r="B170" s="33">
        <v>5.8</v>
      </c>
    </row>
    <row r="171" spans="1:2" ht="15.75" customHeight="1" x14ac:dyDescent="0.25">
      <c r="A171" s="33">
        <v>84.5</v>
      </c>
      <c r="B171" s="33">
        <v>5.8</v>
      </c>
    </row>
    <row r="172" spans="1:2" ht="15.75" customHeight="1" x14ac:dyDescent="0.25">
      <c r="A172" s="33">
        <v>85</v>
      </c>
      <c r="B172" s="33">
        <v>5.9</v>
      </c>
    </row>
    <row r="173" spans="1:2" ht="15.75" customHeight="1" x14ac:dyDescent="0.25">
      <c r="A173" s="33">
        <v>85.5</v>
      </c>
      <c r="B173" s="33">
        <v>5.9</v>
      </c>
    </row>
    <row r="174" spans="1:2" ht="15.75" customHeight="1" x14ac:dyDescent="0.25">
      <c r="A174" s="33">
        <v>86</v>
      </c>
      <c r="B174" s="33">
        <v>6</v>
      </c>
    </row>
    <row r="175" spans="1:2" ht="15.75" customHeight="1" x14ac:dyDescent="0.25">
      <c r="A175" s="33">
        <v>86.5</v>
      </c>
      <c r="B175" s="33">
        <v>6</v>
      </c>
    </row>
    <row r="176" spans="1:2" ht="15.75" customHeight="1" x14ac:dyDescent="0.25">
      <c r="A176" s="33">
        <v>87</v>
      </c>
      <c r="B176" s="33">
        <v>6</v>
      </c>
    </row>
    <row r="177" spans="1:2" ht="15.75" customHeight="1" x14ac:dyDescent="0.25">
      <c r="A177" s="33">
        <v>87.5</v>
      </c>
      <c r="B177" s="33">
        <v>6.1</v>
      </c>
    </row>
    <row r="178" spans="1:2" ht="15.75" customHeight="1" x14ac:dyDescent="0.25">
      <c r="A178" s="33">
        <v>88</v>
      </c>
      <c r="B178" s="33">
        <v>6.1</v>
      </c>
    </row>
    <row r="179" spans="1:2" ht="15.75" customHeight="1" x14ac:dyDescent="0.25">
      <c r="A179" s="33">
        <v>88.5</v>
      </c>
      <c r="B179" s="33">
        <v>6.1</v>
      </c>
    </row>
    <row r="180" spans="1:2" ht="15.75" customHeight="1" x14ac:dyDescent="0.25">
      <c r="A180" s="33">
        <v>89</v>
      </c>
      <c r="B180" s="33">
        <v>6.2</v>
      </c>
    </row>
    <row r="181" spans="1:2" ht="15.75" customHeight="1" x14ac:dyDescent="0.25">
      <c r="A181" s="33">
        <v>89.5</v>
      </c>
      <c r="B181" s="33">
        <v>6.2</v>
      </c>
    </row>
    <row r="182" spans="1:2" ht="15.75" customHeight="1" x14ac:dyDescent="0.25">
      <c r="A182" s="33">
        <v>90</v>
      </c>
      <c r="B182" s="33">
        <v>6.3</v>
      </c>
    </row>
    <row r="183" spans="1:2" ht="15.75" customHeight="1" x14ac:dyDescent="0.25">
      <c r="A183" s="33">
        <v>90.5</v>
      </c>
      <c r="B183" s="33">
        <v>6.3</v>
      </c>
    </row>
    <row r="184" spans="1:2" ht="15.75" customHeight="1" x14ac:dyDescent="0.25">
      <c r="A184" s="33">
        <v>91</v>
      </c>
      <c r="B184" s="33">
        <v>6.3</v>
      </c>
    </row>
    <row r="185" spans="1:2" ht="15.75" customHeight="1" x14ac:dyDescent="0.25">
      <c r="A185" s="33">
        <v>91.5</v>
      </c>
      <c r="B185" s="33">
        <v>6.4</v>
      </c>
    </row>
    <row r="186" spans="1:2" ht="15.75" customHeight="1" x14ac:dyDescent="0.25">
      <c r="A186" s="33">
        <v>92</v>
      </c>
      <c r="B186" s="33">
        <v>6.4</v>
      </c>
    </row>
    <row r="187" spans="1:2" ht="15.75" customHeight="1" x14ac:dyDescent="0.25">
      <c r="A187" s="33">
        <v>92.5</v>
      </c>
      <c r="B187" s="33">
        <v>6.4</v>
      </c>
    </row>
    <row r="188" spans="1:2" ht="15.75" customHeight="1" x14ac:dyDescent="0.25">
      <c r="A188" s="33">
        <v>93</v>
      </c>
      <c r="B188" s="33">
        <v>6.5</v>
      </c>
    </row>
    <row r="189" spans="1:2" ht="15.75" customHeight="1" x14ac:dyDescent="0.25">
      <c r="A189" s="33">
        <v>93.5</v>
      </c>
      <c r="B189" s="33">
        <v>6.5</v>
      </c>
    </row>
    <row r="190" spans="1:2" ht="15.75" customHeight="1" x14ac:dyDescent="0.25">
      <c r="A190" s="33">
        <v>94</v>
      </c>
      <c r="B190" s="33">
        <v>6.6</v>
      </c>
    </row>
    <row r="191" spans="1:2" ht="15.75" customHeight="1" x14ac:dyDescent="0.25">
      <c r="A191" s="33">
        <v>94.5</v>
      </c>
      <c r="B191" s="33">
        <v>6.6</v>
      </c>
    </row>
    <row r="192" spans="1:2" ht="15.75" customHeight="1" x14ac:dyDescent="0.25">
      <c r="A192" s="33">
        <v>95</v>
      </c>
      <c r="B192" s="33">
        <v>6.6</v>
      </c>
    </row>
    <row r="193" spans="1:2" ht="15.75" customHeight="1" x14ac:dyDescent="0.25">
      <c r="A193" s="33">
        <v>95.5</v>
      </c>
      <c r="B193" s="33">
        <v>6.7</v>
      </c>
    </row>
    <row r="194" spans="1:2" ht="15.75" customHeight="1" x14ac:dyDescent="0.25">
      <c r="A194" s="33">
        <v>96</v>
      </c>
      <c r="B194" s="33">
        <v>6.7</v>
      </c>
    </row>
    <row r="195" spans="1:2" ht="15.75" customHeight="1" x14ac:dyDescent="0.25">
      <c r="A195" s="33">
        <v>96.5</v>
      </c>
      <c r="B195" s="33">
        <v>6.7</v>
      </c>
    </row>
    <row r="196" spans="1:2" ht="15.75" customHeight="1" x14ac:dyDescent="0.25">
      <c r="A196" s="33">
        <v>97</v>
      </c>
      <c r="B196" s="33">
        <v>6.8</v>
      </c>
    </row>
    <row r="197" spans="1:2" ht="15.75" customHeight="1" x14ac:dyDescent="0.25">
      <c r="A197" s="33">
        <v>97.5</v>
      </c>
      <c r="B197" s="33">
        <v>6.8</v>
      </c>
    </row>
    <row r="198" spans="1:2" ht="15.75" customHeight="1" x14ac:dyDescent="0.25">
      <c r="A198" s="33">
        <v>98</v>
      </c>
      <c r="B198" s="33">
        <v>6.9</v>
      </c>
    </row>
    <row r="199" spans="1:2" ht="15.75" customHeight="1" x14ac:dyDescent="0.25">
      <c r="A199" s="33">
        <v>98.5</v>
      </c>
      <c r="B199" s="33">
        <v>6.9</v>
      </c>
    </row>
    <row r="200" spans="1:2" ht="15.75" customHeight="1" x14ac:dyDescent="0.25">
      <c r="A200" s="33">
        <v>99</v>
      </c>
      <c r="B200" s="33">
        <v>6.9</v>
      </c>
    </row>
    <row r="201" spans="1:2" ht="15.75" customHeight="1" x14ac:dyDescent="0.25">
      <c r="A201" s="33">
        <v>99.5</v>
      </c>
      <c r="B201" s="33">
        <v>7</v>
      </c>
    </row>
    <row r="202" spans="1:2" ht="15.75" customHeight="1" x14ac:dyDescent="0.25">
      <c r="A202" s="33">
        <v>100</v>
      </c>
      <c r="B202" s="33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baseColWidth="10" defaultColWidth="14.42578125" defaultRowHeight="15" customHeight="1" x14ac:dyDescent="0.25"/>
  <cols>
    <col min="1" max="6" width="10.7109375" customWidth="1"/>
  </cols>
  <sheetData>
    <row r="1" spans="1:2" x14ac:dyDescent="0.25">
      <c r="A1" s="33" t="s">
        <v>86</v>
      </c>
      <c r="B1" s="33" t="s">
        <v>87</v>
      </c>
    </row>
    <row r="2" spans="1:2" x14ac:dyDescent="0.25">
      <c r="A2" s="33">
        <v>0</v>
      </c>
      <c r="B2" s="34">
        <v>1</v>
      </c>
    </row>
    <row r="3" spans="1:2" x14ac:dyDescent="0.25">
      <c r="A3" s="33">
        <v>1</v>
      </c>
      <c r="B3" s="34">
        <v>1.1000000000000001</v>
      </c>
    </row>
    <row r="4" spans="1:2" x14ac:dyDescent="0.25">
      <c r="A4" s="33">
        <v>2</v>
      </c>
      <c r="B4" s="34">
        <v>1.2</v>
      </c>
    </row>
    <row r="5" spans="1:2" x14ac:dyDescent="0.25">
      <c r="A5" s="33">
        <v>3</v>
      </c>
      <c r="B5" s="34">
        <v>1.3</v>
      </c>
    </row>
    <row r="6" spans="1:2" x14ac:dyDescent="0.25">
      <c r="A6" s="33">
        <v>4</v>
      </c>
      <c r="B6" s="34">
        <v>1.4</v>
      </c>
    </row>
    <row r="7" spans="1:2" x14ac:dyDescent="0.25">
      <c r="A7" s="33">
        <v>5</v>
      </c>
      <c r="B7" s="34">
        <v>1.5</v>
      </c>
    </row>
    <row r="8" spans="1:2" x14ac:dyDescent="0.25">
      <c r="A8" s="33">
        <v>6</v>
      </c>
      <c r="B8" s="34">
        <v>1.6</v>
      </c>
    </row>
    <row r="9" spans="1:2" x14ac:dyDescent="0.25">
      <c r="A9" s="33">
        <v>7</v>
      </c>
      <c r="B9" s="34">
        <v>1.7</v>
      </c>
    </row>
    <row r="10" spans="1:2" x14ac:dyDescent="0.25">
      <c r="A10" s="33">
        <v>8</v>
      </c>
      <c r="B10" s="34">
        <v>1.8</v>
      </c>
    </row>
    <row r="11" spans="1:2" x14ac:dyDescent="0.25">
      <c r="A11" s="33">
        <v>9</v>
      </c>
      <c r="B11" s="34">
        <v>1.9</v>
      </c>
    </row>
    <row r="12" spans="1:2" x14ac:dyDescent="0.25">
      <c r="A12" s="33">
        <v>10</v>
      </c>
      <c r="B12" s="34">
        <v>2</v>
      </c>
    </row>
    <row r="13" spans="1:2" x14ac:dyDescent="0.25">
      <c r="A13" s="33">
        <v>11</v>
      </c>
      <c r="B13" s="34">
        <v>2.1</v>
      </c>
    </row>
    <row r="14" spans="1:2" x14ac:dyDescent="0.25">
      <c r="A14" s="33">
        <v>12</v>
      </c>
      <c r="B14" s="34">
        <v>2.2000000000000002</v>
      </c>
    </row>
    <row r="15" spans="1:2" x14ac:dyDescent="0.25">
      <c r="A15" s="33">
        <v>13</v>
      </c>
      <c r="B15" s="34">
        <v>2.2999999999999998</v>
      </c>
    </row>
    <row r="16" spans="1:2" x14ac:dyDescent="0.25">
      <c r="A16" s="33">
        <v>14</v>
      </c>
      <c r="B16" s="34">
        <v>2.2999999999999998</v>
      </c>
    </row>
    <row r="17" spans="1:2" x14ac:dyDescent="0.25">
      <c r="A17" s="33">
        <v>15</v>
      </c>
      <c r="B17" s="34">
        <v>2.4</v>
      </c>
    </row>
    <row r="18" spans="1:2" x14ac:dyDescent="0.25">
      <c r="A18" s="33">
        <v>16</v>
      </c>
      <c r="B18" s="34">
        <v>2.5</v>
      </c>
    </row>
    <row r="19" spans="1:2" x14ac:dyDescent="0.25">
      <c r="A19" s="33">
        <v>17</v>
      </c>
      <c r="B19" s="34">
        <v>2.6</v>
      </c>
    </row>
    <row r="20" spans="1:2" x14ac:dyDescent="0.25">
      <c r="A20" s="33">
        <v>18</v>
      </c>
      <c r="B20" s="34">
        <v>2.7</v>
      </c>
    </row>
    <row r="21" spans="1:2" ht="15.75" customHeight="1" x14ac:dyDescent="0.25">
      <c r="A21" s="33">
        <v>19</v>
      </c>
      <c r="B21" s="34">
        <v>2.8</v>
      </c>
    </row>
    <row r="22" spans="1:2" ht="15.75" customHeight="1" x14ac:dyDescent="0.25">
      <c r="A22" s="33">
        <v>20</v>
      </c>
      <c r="B22" s="34">
        <v>2.9</v>
      </c>
    </row>
    <row r="23" spans="1:2" ht="15.75" customHeight="1" x14ac:dyDescent="0.25">
      <c r="A23" s="33">
        <v>21</v>
      </c>
      <c r="B23" s="34">
        <v>3</v>
      </c>
    </row>
    <row r="24" spans="1:2" ht="15.75" customHeight="1" x14ac:dyDescent="0.25">
      <c r="A24" s="33">
        <v>22</v>
      </c>
      <c r="B24" s="34">
        <v>3.1</v>
      </c>
    </row>
    <row r="25" spans="1:2" ht="15.75" customHeight="1" x14ac:dyDescent="0.25">
      <c r="A25" s="33">
        <v>23</v>
      </c>
      <c r="B25" s="34">
        <v>3.2</v>
      </c>
    </row>
    <row r="26" spans="1:2" ht="15.75" customHeight="1" x14ac:dyDescent="0.25">
      <c r="A26" s="33">
        <v>24</v>
      </c>
      <c r="B26" s="34">
        <v>3.3</v>
      </c>
    </row>
    <row r="27" spans="1:2" ht="15.75" customHeight="1" x14ac:dyDescent="0.25">
      <c r="A27" s="33">
        <v>25</v>
      </c>
      <c r="B27" s="34">
        <v>3.4</v>
      </c>
    </row>
    <row r="28" spans="1:2" ht="15.75" customHeight="1" x14ac:dyDescent="0.25">
      <c r="A28" s="33">
        <v>26</v>
      </c>
      <c r="B28" s="34">
        <v>3.5</v>
      </c>
    </row>
    <row r="29" spans="1:2" ht="15.75" customHeight="1" x14ac:dyDescent="0.25">
      <c r="A29" s="33">
        <v>27</v>
      </c>
      <c r="B29" s="34">
        <v>3.6</v>
      </c>
    </row>
    <row r="30" spans="1:2" ht="15.75" customHeight="1" x14ac:dyDescent="0.25">
      <c r="A30" s="33">
        <v>28</v>
      </c>
      <c r="B30" s="34">
        <v>3.7</v>
      </c>
    </row>
    <row r="31" spans="1:2" ht="15.75" customHeight="1" x14ac:dyDescent="0.25">
      <c r="A31" s="33">
        <v>29</v>
      </c>
      <c r="B31" s="34">
        <v>3.8</v>
      </c>
    </row>
    <row r="32" spans="1:2" ht="15.75" customHeight="1" x14ac:dyDescent="0.25">
      <c r="A32" s="33">
        <v>30</v>
      </c>
      <c r="B32" s="34">
        <v>3.9</v>
      </c>
    </row>
    <row r="33" spans="1:2" ht="15.75" customHeight="1" x14ac:dyDescent="0.25">
      <c r="A33" s="33">
        <v>31</v>
      </c>
      <c r="B33" s="34">
        <v>4</v>
      </c>
    </row>
    <row r="34" spans="1:2" ht="15.75" customHeight="1" x14ac:dyDescent="0.25">
      <c r="A34" s="33">
        <v>32</v>
      </c>
      <c r="B34" s="34">
        <v>4.0999999999999996</v>
      </c>
    </row>
    <row r="35" spans="1:2" ht="15.75" customHeight="1" x14ac:dyDescent="0.25">
      <c r="A35" s="33">
        <v>33</v>
      </c>
      <c r="B35" s="34">
        <v>4.3</v>
      </c>
    </row>
    <row r="36" spans="1:2" ht="15.75" customHeight="1" x14ac:dyDescent="0.25">
      <c r="A36" s="33">
        <v>34</v>
      </c>
      <c r="B36" s="34">
        <v>4.4000000000000004</v>
      </c>
    </row>
    <row r="37" spans="1:2" ht="15.75" customHeight="1" x14ac:dyDescent="0.25">
      <c r="A37" s="33">
        <v>35</v>
      </c>
      <c r="B37" s="34">
        <v>4.5</v>
      </c>
    </row>
    <row r="38" spans="1:2" ht="15.75" customHeight="1" x14ac:dyDescent="0.25">
      <c r="A38" s="33">
        <v>36</v>
      </c>
      <c r="B38" s="34">
        <v>4.7</v>
      </c>
    </row>
    <row r="39" spans="1:2" ht="15.75" customHeight="1" x14ac:dyDescent="0.25">
      <c r="A39" s="33">
        <v>37</v>
      </c>
      <c r="B39" s="34">
        <v>4.8</v>
      </c>
    </row>
    <row r="40" spans="1:2" ht="15.75" customHeight="1" x14ac:dyDescent="0.25">
      <c r="A40" s="33">
        <v>38</v>
      </c>
      <c r="B40" s="34">
        <v>5</v>
      </c>
    </row>
    <row r="41" spans="1:2" ht="15.75" customHeight="1" x14ac:dyDescent="0.25">
      <c r="A41" s="33">
        <v>39</v>
      </c>
      <c r="B41" s="34">
        <v>5.0999999999999996</v>
      </c>
    </row>
    <row r="42" spans="1:2" ht="15.75" customHeight="1" x14ac:dyDescent="0.25">
      <c r="A42" s="33">
        <v>40</v>
      </c>
      <c r="B42" s="34">
        <v>5.3</v>
      </c>
    </row>
    <row r="43" spans="1:2" ht="15.75" customHeight="1" x14ac:dyDescent="0.25">
      <c r="A43" s="33">
        <v>41</v>
      </c>
      <c r="B43" s="34">
        <v>5.4</v>
      </c>
    </row>
    <row r="44" spans="1:2" ht="15.75" customHeight="1" x14ac:dyDescent="0.25">
      <c r="A44" s="33">
        <v>42</v>
      </c>
      <c r="B44" s="34">
        <v>5.6</v>
      </c>
    </row>
    <row r="45" spans="1:2" ht="15.75" customHeight="1" x14ac:dyDescent="0.25">
      <c r="A45" s="33">
        <v>43</v>
      </c>
      <c r="B45" s="34">
        <v>5.7</v>
      </c>
    </row>
    <row r="46" spans="1:2" ht="15.75" customHeight="1" x14ac:dyDescent="0.25">
      <c r="A46" s="33">
        <v>44</v>
      </c>
      <c r="B46" s="34">
        <v>5.8</v>
      </c>
    </row>
    <row r="47" spans="1:2" ht="15.75" customHeight="1" x14ac:dyDescent="0.25">
      <c r="A47" s="33">
        <v>45</v>
      </c>
      <c r="B47" s="34">
        <v>6</v>
      </c>
    </row>
    <row r="48" spans="1:2" ht="15.75" customHeight="1" x14ac:dyDescent="0.25">
      <c r="A48" s="33">
        <v>46</v>
      </c>
      <c r="B48" s="34">
        <v>6.1</v>
      </c>
    </row>
    <row r="49" spans="1:2" ht="15.75" customHeight="1" x14ac:dyDescent="0.25">
      <c r="A49" s="33">
        <v>47</v>
      </c>
      <c r="B49" s="34">
        <v>6.3</v>
      </c>
    </row>
    <row r="50" spans="1:2" ht="15.75" customHeight="1" x14ac:dyDescent="0.25">
      <c r="A50" s="33">
        <v>48</v>
      </c>
      <c r="B50" s="34">
        <v>6.4</v>
      </c>
    </row>
    <row r="51" spans="1:2" ht="15.75" customHeight="1" x14ac:dyDescent="0.25">
      <c r="A51" s="33">
        <v>49</v>
      </c>
      <c r="B51" s="34">
        <v>6.6</v>
      </c>
    </row>
    <row r="52" spans="1:2" ht="15.75" customHeight="1" x14ac:dyDescent="0.25">
      <c r="A52" s="33">
        <v>50</v>
      </c>
      <c r="B52" s="34">
        <v>6.7</v>
      </c>
    </row>
    <row r="53" spans="1:2" ht="15.75" customHeight="1" x14ac:dyDescent="0.25">
      <c r="A53" s="33">
        <v>51</v>
      </c>
      <c r="B53" s="34">
        <v>6.9</v>
      </c>
    </row>
    <row r="54" spans="1:2" ht="15.75" customHeight="1" x14ac:dyDescent="0.25">
      <c r="A54" s="33">
        <v>52</v>
      </c>
      <c r="B54" s="34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baseColWidth="10" defaultColWidth="14.42578125" defaultRowHeight="15" customHeight="1" x14ac:dyDescent="0.25"/>
  <cols>
    <col min="1" max="6" width="10.7109375" customWidth="1"/>
  </cols>
  <sheetData>
    <row r="1" spans="1:2" x14ac:dyDescent="0.25">
      <c r="A1" s="33" t="s">
        <v>15</v>
      </c>
      <c r="B1" s="33" t="s">
        <v>16</v>
      </c>
    </row>
    <row r="2" spans="1:2" x14ac:dyDescent="0.25">
      <c r="A2" s="33">
        <v>0</v>
      </c>
      <c r="B2" s="33">
        <v>1</v>
      </c>
    </row>
    <row r="3" spans="1:2" x14ac:dyDescent="0.25">
      <c r="A3" s="33">
        <v>0.5</v>
      </c>
      <c r="B3" s="33">
        <v>1.1000000000000001</v>
      </c>
    </row>
    <row r="4" spans="1:2" x14ac:dyDescent="0.25">
      <c r="A4" s="33">
        <v>1</v>
      </c>
      <c r="B4" s="33">
        <v>1.3</v>
      </c>
    </row>
    <row r="5" spans="1:2" x14ac:dyDescent="0.25">
      <c r="A5" s="33">
        <v>1.5</v>
      </c>
      <c r="B5" s="33">
        <v>1.4</v>
      </c>
    </row>
    <row r="6" spans="1:2" x14ac:dyDescent="0.25">
      <c r="A6" s="33">
        <v>2</v>
      </c>
      <c r="B6" s="33">
        <v>1.5</v>
      </c>
    </row>
    <row r="7" spans="1:2" x14ac:dyDescent="0.25">
      <c r="A7" s="33">
        <v>2.5</v>
      </c>
      <c r="B7" s="33">
        <v>1.6</v>
      </c>
    </row>
    <row r="8" spans="1:2" x14ac:dyDescent="0.25">
      <c r="A8" s="33">
        <v>3</v>
      </c>
      <c r="B8" s="33">
        <v>1.8</v>
      </c>
    </row>
    <row r="9" spans="1:2" x14ac:dyDescent="0.25">
      <c r="A9" s="33">
        <v>3.5</v>
      </c>
      <c r="B9" s="33">
        <v>1.9</v>
      </c>
    </row>
    <row r="10" spans="1:2" x14ac:dyDescent="0.25">
      <c r="A10" s="33">
        <v>4</v>
      </c>
      <c r="B10" s="33">
        <v>2</v>
      </c>
    </row>
    <row r="11" spans="1:2" x14ac:dyDescent="0.25">
      <c r="A11" s="33">
        <v>4.5</v>
      </c>
      <c r="B11" s="33">
        <v>2.1</v>
      </c>
    </row>
    <row r="12" spans="1:2" x14ac:dyDescent="0.25">
      <c r="A12" s="33">
        <v>5</v>
      </c>
      <c r="B12" s="33">
        <v>2.2999999999999998</v>
      </c>
    </row>
    <row r="13" spans="1:2" x14ac:dyDescent="0.25">
      <c r="A13" s="33">
        <v>5.5</v>
      </c>
      <c r="B13" s="33">
        <v>2.4</v>
      </c>
    </row>
    <row r="14" spans="1:2" x14ac:dyDescent="0.25">
      <c r="A14" s="33">
        <v>6</v>
      </c>
      <c r="B14" s="33">
        <v>2.5</v>
      </c>
    </row>
    <row r="15" spans="1:2" x14ac:dyDescent="0.25">
      <c r="A15" s="33">
        <v>6.5</v>
      </c>
      <c r="B15" s="33">
        <v>2.6</v>
      </c>
    </row>
    <row r="16" spans="1:2" x14ac:dyDescent="0.25">
      <c r="A16" s="33">
        <v>7</v>
      </c>
      <c r="B16" s="33">
        <v>2.8</v>
      </c>
    </row>
    <row r="17" spans="1:2" x14ac:dyDescent="0.25">
      <c r="A17" s="33">
        <v>7.5</v>
      </c>
      <c r="B17" s="33">
        <v>2.9</v>
      </c>
    </row>
    <row r="18" spans="1:2" x14ac:dyDescent="0.25">
      <c r="A18" s="33">
        <v>8</v>
      </c>
      <c r="B18" s="33">
        <v>3</v>
      </c>
    </row>
    <row r="19" spans="1:2" x14ac:dyDescent="0.25">
      <c r="A19" s="33">
        <v>8.5</v>
      </c>
      <c r="B19" s="33">
        <v>3.1</v>
      </c>
    </row>
    <row r="20" spans="1:2" x14ac:dyDescent="0.25">
      <c r="A20" s="33">
        <v>9</v>
      </c>
      <c r="B20" s="33">
        <v>3.3</v>
      </c>
    </row>
    <row r="21" spans="1:2" ht="15.75" customHeight="1" x14ac:dyDescent="0.25">
      <c r="A21" s="33">
        <v>9.5</v>
      </c>
      <c r="B21" s="33">
        <v>3.4</v>
      </c>
    </row>
    <row r="22" spans="1:2" ht="15.75" customHeight="1" x14ac:dyDescent="0.25">
      <c r="A22" s="33">
        <v>10</v>
      </c>
      <c r="B22" s="33">
        <v>3.5</v>
      </c>
    </row>
    <row r="23" spans="1:2" ht="15.75" customHeight="1" x14ac:dyDescent="0.25">
      <c r="A23" s="33">
        <v>10.5</v>
      </c>
      <c r="B23" s="33">
        <v>3.6</v>
      </c>
    </row>
    <row r="24" spans="1:2" ht="15.75" customHeight="1" x14ac:dyDescent="0.25">
      <c r="A24" s="33">
        <v>11</v>
      </c>
      <c r="B24" s="33">
        <v>3.8</v>
      </c>
    </row>
    <row r="25" spans="1:2" ht="15.75" customHeight="1" x14ac:dyDescent="0.25">
      <c r="A25" s="33">
        <v>11.5</v>
      </c>
      <c r="B25" s="33">
        <v>3.9</v>
      </c>
    </row>
    <row r="26" spans="1:2" ht="15.75" customHeight="1" x14ac:dyDescent="0.25">
      <c r="A26" s="33">
        <v>12</v>
      </c>
      <c r="B26" s="33">
        <v>4</v>
      </c>
    </row>
    <row r="27" spans="1:2" ht="15.75" customHeight="1" x14ac:dyDescent="0.25">
      <c r="A27" s="33">
        <v>12.5</v>
      </c>
      <c r="B27" s="33">
        <v>4.2</v>
      </c>
    </row>
    <row r="28" spans="1:2" ht="15.75" customHeight="1" x14ac:dyDescent="0.25">
      <c r="A28" s="33">
        <v>13</v>
      </c>
      <c r="B28" s="33">
        <v>4.4000000000000004</v>
      </c>
    </row>
    <row r="29" spans="1:2" ht="15.75" customHeight="1" x14ac:dyDescent="0.25">
      <c r="A29" s="33">
        <v>13.5</v>
      </c>
      <c r="B29" s="33">
        <v>4.5999999999999996</v>
      </c>
    </row>
    <row r="30" spans="1:2" ht="15.75" customHeight="1" x14ac:dyDescent="0.25">
      <c r="A30" s="33">
        <v>14</v>
      </c>
      <c r="B30" s="33">
        <v>4.8</v>
      </c>
    </row>
    <row r="31" spans="1:2" ht="15.75" customHeight="1" x14ac:dyDescent="0.25">
      <c r="A31" s="33">
        <v>14.5</v>
      </c>
      <c r="B31" s="33">
        <v>4.9000000000000004</v>
      </c>
    </row>
    <row r="32" spans="1:2" ht="15.75" customHeight="1" x14ac:dyDescent="0.25">
      <c r="A32" s="33">
        <v>15</v>
      </c>
      <c r="B32" s="33">
        <v>5.0999999999999996</v>
      </c>
    </row>
    <row r="33" spans="1:2" ht="15.75" customHeight="1" x14ac:dyDescent="0.25">
      <c r="A33" s="33">
        <v>15.5</v>
      </c>
      <c r="B33" s="33">
        <v>5.3</v>
      </c>
    </row>
    <row r="34" spans="1:2" ht="15.75" customHeight="1" x14ac:dyDescent="0.25">
      <c r="A34" s="33">
        <v>16</v>
      </c>
      <c r="B34" s="33">
        <v>5.5</v>
      </c>
    </row>
    <row r="35" spans="1:2" ht="15.75" customHeight="1" x14ac:dyDescent="0.25">
      <c r="A35" s="33">
        <v>16.5</v>
      </c>
      <c r="B35" s="33">
        <v>5.7</v>
      </c>
    </row>
    <row r="36" spans="1:2" ht="15.75" customHeight="1" x14ac:dyDescent="0.25">
      <c r="A36" s="33">
        <v>17</v>
      </c>
      <c r="B36" s="33">
        <v>5.9</v>
      </c>
    </row>
    <row r="37" spans="1:2" ht="15.75" customHeight="1" x14ac:dyDescent="0.25">
      <c r="A37" s="33">
        <v>17.5</v>
      </c>
      <c r="B37" s="33">
        <v>6.1</v>
      </c>
    </row>
    <row r="38" spans="1:2" ht="15.75" customHeight="1" x14ac:dyDescent="0.25">
      <c r="A38" s="33">
        <v>18</v>
      </c>
      <c r="B38" s="33">
        <v>6.3</v>
      </c>
    </row>
    <row r="39" spans="1:2" ht="15.75" customHeight="1" x14ac:dyDescent="0.25">
      <c r="A39" s="33">
        <v>18.5</v>
      </c>
      <c r="B39" s="33">
        <v>6.4</v>
      </c>
    </row>
    <row r="40" spans="1:2" ht="15.75" customHeight="1" x14ac:dyDescent="0.25">
      <c r="A40" s="33">
        <v>19</v>
      </c>
      <c r="B40" s="33">
        <v>6.6</v>
      </c>
    </row>
    <row r="41" spans="1:2" ht="15.75" customHeight="1" x14ac:dyDescent="0.25">
      <c r="A41" s="33">
        <v>19.5</v>
      </c>
      <c r="B41" s="33">
        <v>6.8</v>
      </c>
    </row>
    <row r="42" spans="1:2" ht="15.75" customHeight="1" x14ac:dyDescent="0.25">
      <c r="A42" s="33">
        <v>20</v>
      </c>
      <c r="B42" s="33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34"/>
    </row>
    <row r="54" spans="2:2" ht="15.75" customHeight="1" x14ac:dyDescent="0.25">
      <c r="B54" s="34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/>
  </sheetViews>
  <sheetFormatPr baseColWidth="10" defaultColWidth="14.42578125" defaultRowHeight="15" customHeight="1" x14ac:dyDescent="0.25"/>
  <cols>
    <col min="1" max="6" width="10.7109375" customWidth="1"/>
  </cols>
  <sheetData>
    <row r="1" spans="1:5" x14ac:dyDescent="0.25">
      <c r="A1" s="57" t="s">
        <v>88</v>
      </c>
      <c r="B1" s="35" t="s">
        <v>15</v>
      </c>
      <c r="C1" s="36"/>
      <c r="D1" s="36"/>
      <c r="E1" s="37"/>
    </row>
    <row r="2" spans="1:5" ht="45" x14ac:dyDescent="0.25">
      <c r="A2" s="58"/>
      <c r="B2" s="38" t="s">
        <v>10</v>
      </c>
      <c r="C2" s="39" t="s">
        <v>11</v>
      </c>
      <c r="D2" s="39" t="s">
        <v>89</v>
      </c>
      <c r="E2" s="40" t="s">
        <v>13</v>
      </c>
    </row>
    <row r="3" spans="1:5" ht="30" x14ac:dyDescent="0.25">
      <c r="A3" s="41" t="s">
        <v>90</v>
      </c>
      <c r="B3" s="42">
        <v>4</v>
      </c>
      <c r="C3" s="42">
        <v>3</v>
      </c>
      <c r="D3" s="42">
        <v>2</v>
      </c>
      <c r="E3" s="42">
        <v>0</v>
      </c>
    </row>
    <row r="4" spans="1:5" x14ac:dyDescent="0.25">
      <c r="A4" s="41"/>
      <c r="B4" s="42"/>
      <c r="C4" s="42"/>
      <c r="D4" s="42"/>
      <c r="E4" s="42"/>
    </row>
    <row r="5" spans="1:5" x14ac:dyDescent="0.25">
      <c r="A5" s="41"/>
      <c r="B5" s="42"/>
      <c r="C5" s="42"/>
      <c r="D5" s="42"/>
      <c r="E5" s="4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Amir Bkn</cp:lastModifiedBy>
  <dcterms:created xsi:type="dcterms:W3CDTF">2023-08-07T04:08:01Z</dcterms:created>
  <dcterms:modified xsi:type="dcterms:W3CDTF">2025-12-19T16:24:41Z</dcterms:modified>
</cp:coreProperties>
</file>